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bit Tracker" sheetId="1" state="visible" r:id="rId1"/>
    <sheet xmlns:r="http://schemas.openxmlformats.org/officeDocument/2006/relationships" name="Streak_Helper" sheetId="2" state="visible" r:id="rId2"/>
    <sheet xmlns:r="http://schemas.openxmlformats.org/officeDocument/2006/relationships" name="Milestones and Rewards" sheetId="3" state="visible" r:id="rId3"/>
  </sheets>
  <definedNames/>
  <calcPr calcId="124519" fullCalcOnLoad="1"/>
</workbook>
</file>

<file path=xl/styles.xml><?xml version="1.0" encoding="utf-8"?>
<styleSheet xmlns="http://schemas.openxmlformats.org/spreadsheetml/2006/main">
  <numFmts count="7">
    <numFmt numFmtId="164" formatCode="0.0%"/>
    <numFmt numFmtId="165" formatCode="0&quot; days&quot;"/>
    <numFmt numFmtId="166" formatCode="ddd"/>
    <numFmt numFmtId="167" formatCode="d"/>
    <numFmt numFmtId="168" formatCode="yyyy-mm-dd"/>
    <numFmt numFmtId="169" formatCode="$#,##0.00"/>
    <numFmt numFmtId="170" formatCode="YYYY-MM-DD"/>
  </numFmts>
  <fonts count="17">
    <font>
      <name val="Calibri"/>
      <family val="2"/>
      <color theme="1"/>
      <sz val="11"/>
      <scheme val="minor"/>
    </font>
    <font>
      <name val="Calibri"/>
      <i val="1"/>
      <color rgb="00708090"/>
      <sz val="8"/>
    </font>
    <font>
      <name val="Calibri"/>
      <b val="1"/>
      <color rgb="004E6544"/>
      <sz val="16"/>
    </font>
    <font>
      <name val="Calibri"/>
      <b val="1"/>
      <color rgb="00708090"/>
      <sz val="9"/>
    </font>
    <font>
      <name val="Calibri"/>
      <b val="1"/>
      <color rgb="004E6544"/>
      <sz val="20"/>
    </font>
    <font>
      <name val="Calibri"/>
      <b val="1"/>
      <color rgb="004E6544"/>
      <sz val="12"/>
    </font>
    <font>
      <name val="Calibri"/>
      <b val="1"/>
      <color rgb="00FFFFFF"/>
      <sz val="11"/>
    </font>
    <font>
      <name val="Calibri"/>
      <b val="1"/>
      <color rgb="00FFFFFF"/>
      <sz val="10"/>
    </font>
    <font>
      <name val="Calibri"/>
      <b val="1"/>
      <color rgb="00000000"/>
      <sz val="11"/>
    </font>
    <font>
      <name val="Calibri"/>
      <color rgb="00000000"/>
      <sz val="11"/>
    </font>
    <font>
      <name val="Courier New"/>
      <b val="1"/>
      <color rgb="005A6B5C"/>
      <sz val="11"/>
    </font>
    <font>
      <name val="Calibri"/>
      <b val="1"/>
      <color rgb="00FFFFFF"/>
      <sz val="16"/>
    </font>
    <font>
      <name val="Calibri"/>
      <b val="1"/>
      <sz val="11"/>
    </font>
    <font>
      <name val="Calibri"/>
      <b val="1"/>
      <color rgb="004E6544"/>
      <sz val="11"/>
    </font>
    <font>
      <name val="Calibri"/>
      <i val="1"/>
      <sz val="10"/>
    </font>
    <font>
      <name val="Calibri"/>
      <i val="1"/>
      <color rgb="00555555"/>
      <sz val="9"/>
    </font>
    <font>
      <name val="Calibri"/>
      <sz val="11"/>
    </font>
  </fonts>
  <fills count="10">
    <fill>
      <patternFill/>
    </fill>
    <fill>
      <patternFill patternType="gray125"/>
    </fill>
    <fill>
      <patternFill patternType="solid">
        <fgColor rgb="00F3F6F2"/>
        <bgColor rgb="00F3F6F2"/>
      </patternFill>
    </fill>
    <fill>
      <patternFill patternType="solid">
        <fgColor rgb="004E6544"/>
        <bgColor rgb="004E6544"/>
      </patternFill>
    </fill>
    <fill>
      <patternFill patternType="solid">
        <fgColor rgb="008FA382"/>
        <bgColor rgb="008FA382"/>
      </patternFill>
    </fill>
    <fill>
      <patternFill patternType="solid">
        <fgColor rgb="00FFFFFF"/>
        <bgColor rgb="00FFFFFF"/>
      </patternFill>
    </fill>
    <fill>
      <patternFill patternType="solid">
        <fgColor rgb="00708090"/>
        <bgColor rgb="00708090"/>
      </patternFill>
    </fill>
    <fill>
      <patternFill patternType="solid">
        <fgColor rgb="00E2EFDA"/>
        <bgColor rgb="00E2EFDA"/>
      </patternFill>
    </fill>
    <fill>
      <patternFill patternType="solid">
        <fgColor rgb="00FFF2CC"/>
        <bgColor rgb="00FFF2CC"/>
      </patternFill>
    </fill>
    <fill>
      <patternFill patternType="solid">
        <fgColor rgb="00DCE6F1"/>
        <bgColor rgb="00DCE6F1"/>
      </patternFill>
    </fill>
  </fills>
  <borders count="24">
    <border>
      <left/>
      <right/>
      <top/>
      <bottom/>
      <diagonal/>
    </border>
    <border>
      <left style="thin">
        <color rgb="00D9D9D9"/>
      </left>
      <top style="thin">
        <color rgb="00D9D9D9"/>
      </top>
    </border>
    <border>
      <top style="thin">
        <color rgb="00D9D9D9"/>
      </top>
    </border>
    <border>
      <right style="thin">
        <color rgb="00D9D9D9"/>
      </right>
      <top style="thin">
        <color rgb="00D9D9D9"/>
      </top>
    </border>
    <border>
      <left style="thin">
        <color rgb="00D9D9D9"/>
      </left>
    </border>
    <border/>
    <border>
      <right style="thin">
        <color rgb="00D9D9D9"/>
      </right>
    </border>
    <border>
      <left style="thin">
        <color rgb="00D9D9D9"/>
      </left>
      <bottom style="thin">
        <color rgb="00D9D9D9"/>
      </bottom>
    </border>
    <border>
      <bottom style="thin">
        <color rgb="00D9D9D9"/>
      </bottom>
    </border>
    <border>
      <right style="thin">
        <color rgb="00D9D9D9"/>
      </right>
      <bottom style="thin">
        <color rgb="00D9D9D9"/>
      </bottom>
    </border>
    <border>
      <left style="thin">
        <color rgb="00D9D9D9"/>
      </left>
      <right style="thin">
        <color rgb="00D9D9D9"/>
      </right>
      <top style="thin">
        <color rgb="00D9D9D9"/>
      </top>
      <bottom style="thin">
        <color rgb="00D9D9D9"/>
      </bottom>
    </border>
    <border>
      <top style="thin">
        <color rgb="004E6544"/>
      </top>
      <bottom style="double">
        <color rgb="004E6544"/>
      </bottom>
    </border>
    <border>
      <left style="thin">
        <color rgb="00D9D9D9"/>
      </left>
      <right style="thin">
        <color rgb="00D9D9D9"/>
      </right>
      <bottom style="thin">
        <color rgb="00D9D9D9"/>
      </bottom>
    </border>
    <border>
      <left style="thin">
        <color rgb="00D9D9D9"/>
      </left>
      <right/>
      <top/>
      <bottom/>
      <diagonal/>
    </border>
    <border>
      <left/>
      <right style="thin">
        <color rgb="00D9D9D9"/>
      </right>
      <top/>
      <bottom/>
      <diagonal/>
    </border>
    <border>
      <left style="thin">
        <color rgb="00D9D9D9"/>
      </left>
      <right/>
      <top/>
      <bottom style="thin">
        <color rgb="00D9D9D9"/>
      </bottom>
      <diagonal/>
    </border>
    <border>
      <left/>
      <right/>
      <top/>
      <bottom style="thin">
        <color rgb="00D9D9D9"/>
      </bottom>
      <diagonal/>
    </border>
    <border>
      <left/>
      <right style="thin">
        <color rgb="00D9D9D9"/>
      </right>
      <top/>
      <bottom style="thin">
        <color rgb="00D9D9D9"/>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style="thin">
        <color rgb="00D9D9D9"/>
      </top>
    </border>
    <border>
      <left/>
      <right/>
      <top style="thin">
        <color rgb="00D9D9D9"/>
      </top>
      <bottom/>
      <diagonal/>
    </border>
    <border>
      <left/>
      <right style="thin">
        <color rgb="00D9D9D9"/>
      </right>
      <top style="thin">
        <color rgb="00D9D9D9"/>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164" fontId="4" fillId="2" borderId="4" applyAlignment="1" pivotButton="0" quotePrefix="0" xfId="0">
      <alignment horizontal="center" vertical="center"/>
    </xf>
    <xf numFmtId="165" fontId="4" fillId="2" borderId="4" applyAlignment="1" pivotButton="0" quotePrefix="0" xfId="0">
      <alignment horizontal="center" vertical="center"/>
    </xf>
    <xf numFmtId="3" fontId="4" fillId="2" borderId="4" applyAlignment="1" pivotButton="0" quotePrefix="0" xfId="0">
      <alignment horizontal="center" vertical="center"/>
    </xf>
    <xf numFmtId="0" fontId="0" fillId="0" borderId="7" pivotButton="0" quotePrefix="0" xfId="0"/>
    <xf numFmtId="0" fontId="0" fillId="0" borderId="8" pivotButton="0" quotePrefix="0" xfId="0"/>
    <xf numFmtId="0" fontId="0" fillId="0" borderId="9" pivotButton="0" quotePrefix="0" xfId="0"/>
    <xf numFmtId="0" fontId="5" fillId="0" borderId="0" pivotButton="0" quotePrefix="0" xfId="0"/>
    <xf numFmtId="0" fontId="6" fillId="3" borderId="10" applyAlignment="1" pivotButton="0" quotePrefix="0" xfId="0">
      <alignment horizontal="center" vertical="center"/>
    </xf>
    <xf numFmtId="166" fontId="7" fillId="4" borderId="10" applyAlignment="1" pivotButton="0" quotePrefix="0" xfId="0">
      <alignment horizontal="center" vertical="center"/>
    </xf>
    <xf numFmtId="0" fontId="0" fillId="0" borderId="10" pivotButton="0" quotePrefix="0" xfId="0"/>
    <xf numFmtId="167" fontId="7" fillId="4" borderId="10" applyAlignment="1" pivotButton="0" quotePrefix="0" xfId="0">
      <alignment horizontal="center" vertical="center"/>
    </xf>
    <xf numFmtId="0" fontId="8" fillId="5" borderId="10" pivotButton="0" quotePrefix="0" xfId="0"/>
    <xf numFmtId="0" fontId="9" fillId="5" borderId="10" applyAlignment="1" pivotButton="0" quotePrefix="0" xfId="0">
      <alignment horizontal="center" vertical="center"/>
    </xf>
    <xf numFmtId="3" fontId="9" fillId="5" borderId="10" applyAlignment="1" pivotButton="0" quotePrefix="0" xfId="0">
      <alignment horizontal="center" vertical="center"/>
    </xf>
    <xf numFmtId="3" fontId="8" fillId="5" borderId="10" applyAlignment="1" pivotButton="0" quotePrefix="0" xfId="0">
      <alignment horizontal="center" vertical="center"/>
    </xf>
    <xf numFmtId="164" fontId="8" fillId="5" borderId="10" applyAlignment="1" pivotButton="0" quotePrefix="0" xfId="0">
      <alignment horizontal="right" vertical="center"/>
    </xf>
    <xf numFmtId="165" fontId="8" fillId="5" borderId="10" applyAlignment="1" pivotButton="0" quotePrefix="0" xfId="0">
      <alignment horizontal="center" vertical="center"/>
    </xf>
    <xf numFmtId="0" fontId="10" fillId="5" borderId="10" applyAlignment="1" pivotButton="0" quotePrefix="0" xfId="0">
      <alignment horizontal="center" vertical="center"/>
    </xf>
    <xf numFmtId="0" fontId="8" fillId="2" borderId="10" pivotButton="0" quotePrefix="0" xfId="0"/>
    <xf numFmtId="0" fontId="9" fillId="2" borderId="10" applyAlignment="1" pivotButton="0" quotePrefix="0" xfId="0">
      <alignment horizontal="center" vertical="center"/>
    </xf>
    <xf numFmtId="3" fontId="9" fillId="2" borderId="10" applyAlignment="1" pivotButton="0" quotePrefix="0" xfId="0">
      <alignment horizontal="center" vertical="center"/>
    </xf>
    <xf numFmtId="3" fontId="8" fillId="2" borderId="10" applyAlignment="1" pivotButton="0" quotePrefix="0" xfId="0">
      <alignment horizontal="center" vertical="center"/>
    </xf>
    <xf numFmtId="164" fontId="8" fillId="2" borderId="10" applyAlignment="1" pivotButton="0" quotePrefix="0" xfId="0">
      <alignment horizontal="right" vertical="center"/>
    </xf>
    <xf numFmtId="165" fontId="8" fillId="2" borderId="10" applyAlignment="1" pivotButton="0" quotePrefix="0" xfId="0">
      <alignment horizontal="center" vertical="center"/>
    </xf>
    <xf numFmtId="0" fontId="10" fillId="2" borderId="10" applyAlignment="1" pivotButton="0" quotePrefix="0" xfId="0">
      <alignment horizontal="center" vertical="center"/>
    </xf>
    <xf numFmtId="0" fontId="8" fillId="0" borderId="11" applyAlignment="1" pivotButton="0" quotePrefix="0" xfId="0">
      <alignment horizontal="left" vertical="center"/>
    </xf>
    <xf numFmtId="0" fontId="8" fillId="0" borderId="11" pivotButton="0" quotePrefix="0" xfId="0"/>
    <xf numFmtId="3" fontId="8" fillId="0" borderId="11" applyAlignment="1" pivotButton="0" quotePrefix="0" xfId="0">
      <alignment horizontal="center" vertical="center"/>
    </xf>
    <xf numFmtId="164" fontId="8" fillId="0" borderId="11" applyAlignment="1" pivotButton="0" quotePrefix="0" xfId="0">
      <alignment horizontal="right" vertical="center"/>
    </xf>
    <xf numFmtId="1" fontId="8" fillId="0" borderId="11" applyAlignment="1" pivotButton="0" quotePrefix="0" xfId="0">
      <alignment horizontal="center" vertical="center"/>
    </xf>
    <xf numFmtId="0" fontId="6" fillId="0" borderId="0" pivotButton="0" quotePrefix="0" xfId="0"/>
    <xf numFmtId="168" fontId="0" fillId="0" borderId="0" pivotButton="0" quotePrefix="0" xfId="0"/>
    <xf numFmtId="0" fontId="3" fillId="2" borderId="20" applyAlignment="1" pivotButton="0" quotePrefix="0" xfId="0">
      <alignment horizontal="center" vertical="center"/>
    </xf>
    <xf numFmtId="0" fontId="0" fillId="0" borderId="21" pivotButton="0" quotePrefix="0" xfId="0"/>
    <xf numFmtId="0" fontId="0" fillId="0" borderId="22" pivotButton="0" quotePrefix="0" xfId="0"/>
    <xf numFmtId="0" fontId="0" fillId="0" borderId="13" pivotButton="0" quotePrefix="0" xfId="0"/>
    <xf numFmtId="0" fontId="0" fillId="0" borderId="14" pivotButton="0" quotePrefix="0" xfId="0"/>
    <xf numFmtId="164" fontId="4" fillId="2" borderId="12" applyAlignment="1" pivotButton="0" quotePrefix="0" xfId="0">
      <alignment horizontal="center" vertical="center"/>
    </xf>
    <xf numFmtId="165" fontId="4" fillId="2" borderId="12" applyAlignment="1" pivotButton="0" quotePrefix="0" xfId="0">
      <alignment horizontal="center" vertical="center"/>
    </xf>
    <xf numFmtId="3" fontId="4" fillId="2" borderId="12" applyAlignment="1" pivotButton="0" quotePrefix="0" xfId="0">
      <alignment horizontal="center" vertical="center"/>
    </xf>
    <xf numFmtId="0" fontId="0" fillId="0" borderId="15" pivotButton="0" quotePrefix="0" xfId="0"/>
    <xf numFmtId="0" fontId="0" fillId="0" borderId="16" pivotButton="0" quotePrefix="0" xfId="0"/>
    <xf numFmtId="0" fontId="0" fillId="0" borderId="17" pivotButton="0" quotePrefix="0" xfId="0"/>
    <xf numFmtId="166" fontId="7" fillId="4" borderId="10" applyAlignment="1" pivotButton="0" quotePrefix="0" xfId="0">
      <alignment horizontal="center" vertical="center"/>
    </xf>
    <xf numFmtId="0" fontId="0" fillId="0" borderId="19" pivotButton="0" quotePrefix="0" xfId="0"/>
    <xf numFmtId="168" fontId="0" fillId="0" borderId="0" pivotButton="0" quotePrefix="0" xfId="0"/>
    <xf numFmtId="0" fontId="11" fillId="3" borderId="0" applyAlignment="1" pivotButton="0" quotePrefix="0" xfId="0">
      <alignment horizontal="center" vertical="center" wrapText="1"/>
    </xf>
    <xf numFmtId="0" fontId="0" fillId="3" borderId="0" pivotButton="0" quotePrefix="0" xfId="0"/>
    <xf numFmtId="0" fontId="6" fillId="6" borderId="0" applyAlignment="1" pivotButton="0" quotePrefix="0" xfId="0">
      <alignment horizontal="center" vertical="center" wrapText="1"/>
    </xf>
    <xf numFmtId="0" fontId="0" fillId="6" borderId="0" pivotButton="0" quotePrefix="0" xfId="0"/>
    <xf numFmtId="0" fontId="12" fillId="2" borderId="23" applyAlignment="1" pivotButton="0" quotePrefix="0" xfId="0">
      <alignment horizontal="left" vertical="center" wrapText="1"/>
    </xf>
    <xf numFmtId="0" fontId="13" fillId="7" borderId="23" applyAlignment="1" pivotButton="0" quotePrefix="0" xfId="0">
      <alignment horizontal="center" vertical="center" wrapText="1"/>
    </xf>
    <xf numFmtId="0" fontId="14" fillId="2" borderId="23" applyAlignment="1" pivotButton="0" quotePrefix="0" xfId="0">
      <alignment horizontal="center" vertical="center" wrapText="1"/>
    </xf>
    <xf numFmtId="0" fontId="12" fillId="2" borderId="23" applyAlignment="1" pivotButton="0" quotePrefix="0" xfId="0">
      <alignment horizontal="center" vertical="center" wrapText="1"/>
    </xf>
    <xf numFmtId="0" fontId="14" fillId="2" borderId="23" applyAlignment="1" pivotButton="0" quotePrefix="0" xfId="0">
      <alignment horizontal="left" vertical="center" wrapText="1"/>
    </xf>
    <xf numFmtId="164" fontId="12" fillId="2" borderId="23" applyAlignment="1" pivotButton="0" quotePrefix="0" xfId="0">
      <alignment horizontal="center" vertical="center" wrapText="1"/>
    </xf>
    <xf numFmtId="0" fontId="15" fillId="0" borderId="23" applyAlignment="1" pivotButton="0" quotePrefix="0" xfId="0">
      <alignment horizontal="center" vertical="center" wrapText="1"/>
    </xf>
    <xf numFmtId="0" fontId="0" fillId="0" borderId="23" pivotButton="0" quotePrefix="0" xfId="0"/>
    <xf numFmtId="0" fontId="6" fillId="3" borderId="0" applyAlignment="1" pivotButton="0" quotePrefix="0" xfId="0">
      <alignment horizontal="center" vertical="center" wrapText="1"/>
    </xf>
    <xf numFmtId="0" fontId="7" fillId="6" borderId="23" applyAlignment="1" pivotButton="0" quotePrefix="0" xfId="0">
      <alignment horizontal="center" vertical="center" wrapText="1"/>
    </xf>
    <xf numFmtId="0" fontId="0" fillId="6" borderId="23" pivotButton="0" quotePrefix="0" xfId="0"/>
    <xf numFmtId="0" fontId="14" fillId="8" borderId="23" applyAlignment="1" pivotButton="0" quotePrefix="0" xfId="0">
      <alignment horizontal="left" vertical="center" wrapText="1"/>
    </xf>
    <xf numFmtId="169" fontId="16" fillId="8" borderId="23" applyAlignment="1" pivotButton="0" quotePrefix="0" xfId="0">
      <alignment horizontal="center" vertical="center" wrapText="1"/>
    </xf>
    <xf numFmtId="0" fontId="12" fillId="9" borderId="23" applyAlignment="1" pivotButton="0" quotePrefix="0" xfId="0">
      <alignment horizontal="center" vertical="center" wrapText="1"/>
    </xf>
    <xf numFmtId="170" fontId="16" fillId="9" borderId="23" applyAlignment="1" pivotButton="0" quotePrefix="0" xfId="0">
      <alignment horizontal="center" vertical="center" wrapText="1"/>
    </xf>
    <xf numFmtId="0" fontId="0" fillId="8" borderId="23" pivotButton="0" quotePrefix="0" xfId="0"/>
    <xf numFmtId="0" fontId="16" fillId="8" borderId="23" applyAlignment="1" pivotButton="0" quotePrefix="0" xfId="0">
      <alignment horizontal="center" vertical="center" wrapText="1"/>
    </xf>
  </cellXfs>
  <cellStyles count="1">
    <cellStyle name="Normal" xfId="0" builtinId="0" hidden="0"/>
  </cellStyles>
  <dxfs count="3">
    <dxf>
      <font>
        <b val="1"/>
        <color rgb="002E631E"/>
      </font>
      <fill>
        <patternFill patternType="solid">
          <fgColor rgb="00E2EFDA"/>
          <bgColor rgb="00E2EFDA"/>
        </patternFill>
      </fill>
    </dxf>
    <dxf>
      <font>
        <b val="1"/>
        <color rgb="009C0006"/>
      </font>
      <fill>
        <patternFill patternType="solid">
          <fgColor rgb="00FCE4D6"/>
          <bgColor rgb="00FCE4D6"/>
        </patternFill>
      </fill>
    </dxf>
    <dxf>
      <font>
        <name val="Calibri"/>
        <b val="1"/>
        <color rgb="004E6544"/>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
  <sheetViews>
    <sheetView showGridLines="0" workbookViewId="0">
      <pane xSplit="9" ySplit="12" topLeftCell="J13"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5" customWidth="1" min="2" max="2"/>
    <col width="12" customWidth="1" min="3" max="3"/>
    <col width="12" customWidth="1" min="4" max="4"/>
    <col width="10" customWidth="1" min="5" max="5"/>
    <col width="8" customWidth="1" min="6" max="6"/>
    <col width="11" customWidth="1" min="7" max="7"/>
    <col width="11" customWidth="1" min="8" max="8"/>
    <col width="1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s>
  <sheetData>
    <row r="1">
      <c r="A1" s="1" t="inlineStr">
        <is>
          <t>Generated 2026-08-19 | v2.0</t>
        </is>
      </c>
    </row>
    <row r="2" ht="28" customHeight="1">
      <c r="B2" s="2" t="inlineStr">
        <is>
          <t>SAGE HABIT DASHBOARD</t>
        </is>
      </c>
    </row>
    <row r="4">
      <c r="B4" s="41" t="inlineStr">
        <is>
          <t>OVERALL SUCCESS RATE</t>
        </is>
      </c>
      <c r="C4" s="42" t="n"/>
      <c r="D4" s="43" t="n"/>
      <c r="F4" s="41" t="inlineStr">
        <is>
          <t>TOP ACTIVE STREAK</t>
        </is>
      </c>
      <c r="G4" s="42" t="n"/>
      <c r="H4" s="43" t="n"/>
      <c r="J4" s="41" t="inlineStr">
        <is>
          <t>TOTAL CHECK-INS</t>
        </is>
      </c>
      <c r="K4" s="42" t="n"/>
      <c r="L4" s="43" t="n"/>
    </row>
    <row r="5">
      <c r="B5" s="44" t="n"/>
      <c r="D5" s="45" t="n"/>
      <c r="F5" s="44" t="n"/>
      <c r="H5" s="45" t="n"/>
      <c r="J5" s="44" t="n"/>
      <c r="L5" s="45" t="n"/>
    </row>
    <row r="6">
      <c r="B6" s="46">
        <f>IFERROR(AVERAGE(G13:G27), 0)</f>
        <v/>
      </c>
      <c r="D6" s="45" t="n"/>
      <c r="F6" s="47">
        <f>MAX(H13:H27)</f>
        <v/>
      </c>
      <c r="H6" s="45" t="n"/>
      <c r="J6" s="48">
        <f>SUM(F13:F27)</f>
        <v/>
      </c>
      <c r="L6" s="45" t="n"/>
    </row>
    <row r="7">
      <c r="B7" s="49" t="n"/>
      <c r="C7" s="50" t="n"/>
      <c r="D7" s="51" t="n"/>
      <c r="F7" s="49" t="n"/>
      <c r="G7" s="50" t="n"/>
      <c r="H7" s="51" t="n"/>
      <c r="J7" s="49" t="n"/>
      <c r="K7" s="50" t="n"/>
      <c r="L7" s="51" t="n"/>
    </row>
    <row r="10">
      <c r="B10" s="15" t="inlineStr">
        <is>
          <t>DAILY PROGRESS LOG - AUGUST 2026</t>
        </is>
      </c>
    </row>
    <row r="11" ht="20" customHeight="1">
      <c r="B11" s="16" t="inlineStr">
        <is>
          <t>Habit Name</t>
        </is>
      </c>
      <c r="C11" s="16" t="inlineStr">
        <is>
          <t>Category</t>
        </is>
      </c>
      <c r="D11" s="16" t="inlineStr">
        <is>
          <t>Frequency</t>
        </is>
      </c>
      <c r="E11" s="16" t="inlineStr">
        <is>
          <t>Target</t>
        </is>
      </c>
      <c r="F11" s="16" t="inlineStr">
        <is>
          <t>Done</t>
        </is>
      </c>
      <c r="G11" s="16" t="inlineStr">
        <is>
          <t>Success %</t>
        </is>
      </c>
      <c r="H11" s="16" t="inlineStr">
        <is>
          <t>Streak</t>
        </is>
      </c>
      <c r="I11" s="16" t="inlineStr">
        <is>
          <t>Progress Bar</t>
        </is>
      </c>
      <c r="J11" s="52">
        <f>J12</f>
        <v/>
      </c>
      <c r="K11" s="52">
        <f>K12</f>
        <v/>
      </c>
      <c r="L11" s="52">
        <f>L12</f>
        <v/>
      </c>
      <c r="M11" s="52">
        <f>M12</f>
        <v/>
      </c>
      <c r="N11" s="52">
        <f>N12</f>
        <v/>
      </c>
      <c r="O11" s="52">
        <f>O12</f>
        <v/>
      </c>
      <c r="P11" s="52">
        <f>P12</f>
        <v/>
      </c>
      <c r="Q11" s="52">
        <f>Q12</f>
        <v/>
      </c>
      <c r="R11" s="52">
        <f>R12</f>
        <v/>
      </c>
      <c r="S11" s="52">
        <f>S12</f>
        <v/>
      </c>
      <c r="T11" s="52">
        <f>T12</f>
        <v/>
      </c>
      <c r="U11" s="52">
        <f>U12</f>
        <v/>
      </c>
      <c r="V11" s="52">
        <f>V12</f>
        <v/>
      </c>
      <c r="W11" s="52">
        <f>W12</f>
        <v/>
      </c>
      <c r="X11" s="52">
        <f>X12</f>
        <v/>
      </c>
      <c r="Y11" s="52">
        <f>Y12</f>
        <v/>
      </c>
      <c r="Z11" s="52">
        <f>Z12</f>
        <v/>
      </c>
      <c r="AA11" s="52">
        <f>AA12</f>
        <v/>
      </c>
      <c r="AB11" s="52">
        <f>AB12</f>
        <v/>
      </c>
      <c r="AC11" s="52">
        <f>AC12</f>
        <v/>
      </c>
      <c r="AD11" s="52">
        <f>AD12</f>
        <v/>
      </c>
      <c r="AE11" s="52">
        <f>AE12</f>
        <v/>
      </c>
      <c r="AF11" s="52">
        <f>AF12</f>
        <v/>
      </c>
      <c r="AG11" s="52">
        <f>AG12</f>
        <v/>
      </c>
      <c r="AH11" s="52">
        <f>AH12</f>
        <v/>
      </c>
      <c r="AI11" s="52">
        <f>AI12</f>
        <v/>
      </c>
      <c r="AJ11" s="52">
        <f>AJ12</f>
        <v/>
      </c>
      <c r="AK11" s="52">
        <f>AK12</f>
        <v/>
      </c>
      <c r="AL11" s="52">
        <f>AL12</f>
        <v/>
      </c>
      <c r="AM11" s="52">
        <f>AM12</f>
        <v/>
      </c>
      <c r="AN11" s="52">
        <f>AN12</f>
        <v/>
      </c>
    </row>
    <row r="12" ht="20" customHeight="1">
      <c r="B12" s="53" t="n"/>
      <c r="C12" s="53" t="n"/>
      <c r="D12" s="53" t="n"/>
      <c r="E12" s="53" t="n"/>
      <c r="F12" s="53" t="n"/>
      <c r="G12" s="53" t="n"/>
      <c r="H12" s="53" t="n"/>
      <c r="I12" s="53" t="n"/>
      <c r="J12" s="19" t="n">
        <v>46235</v>
      </c>
      <c r="K12" s="19" t="n">
        <v>46236</v>
      </c>
      <c r="L12" s="19" t="n">
        <v>46237</v>
      </c>
      <c r="M12" s="19" t="n">
        <v>46238</v>
      </c>
      <c r="N12" s="19" t="n">
        <v>46239</v>
      </c>
      <c r="O12" s="19" t="n">
        <v>46240</v>
      </c>
      <c r="P12" s="19" t="n">
        <v>46241</v>
      </c>
      <c r="Q12" s="19" t="n">
        <v>46242</v>
      </c>
      <c r="R12" s="19" t="n">
        <v>46243</v>
      </c>
      <c r="S12" s="19" t="n">
        <v>46244</v>
      </c>
      <c r="T12" s="19" t="n">
        <v>46245</v>
      </c>
      <c r="U12" s="19" t="n">
        <v>46246</v>
      </c>
      <c r="V12" s="19" t="n">
        <v>46247</v>
      </c>
      <c r="W12" s="19" t="n">
        <v>46248</v>
      </c>
      <c r="X12" s="19" t="n">
        <v>46249</v>
      </c>
      <c r="Y12" s="19" t="n">
        <v>46250</v>
      </c>
      <c r="Z12" s="19" t="n">
        <v>46251</v>
      </c>
      <c r="AA12" s="19" t="n">
        <v>46252</v>
      </c>
      <c r="AB12" s="19" t="n">
        <v>46253</v>
      </c>
      <c r="AC12" s="19" t="n">
        <v>46254</v>
      </c>
      <c r="AD12" s="19" t="n">
        <v>46255</v>
      </c>
      <c r="AE12" s="19" t="n">
        <v>46256</v>
      </c>
      <c r="AF12" s="19" t="n">
        <v>46257</v>
      </c>
      <c r="AG12" s="19" t="n">
        <v>46258</v>
      </c>
      <c r="AH12" s="19" t="n">
        <v>46259</v>
      </c>
      <c r="AI12" s="19" t="n">
        <v>46260</v>
      </c>
      <c r="AJ12" s="19" t="n">
        <v>46261</v>
      </c>
      <c r="AK12" s="19" t="n">
        <v>46262</v>
      </c>
      <c r="AL12" s="19" t="n">
        <v>46263</v>
      </c>
      <c r="AM12" s="19" t="n">
        <v>46264</v>
      </c>
      <c r="AN12" s="19" t="n">
        <v>46265</v>
      </c>
    </row>
    <row r="13">
      <c r="B13" s="20" t="inlineStr">
        <is>
          <t>Morning Meditation</t>
        </is>
      </c>
      <c r="C13" s="21" t="inlineStr">
        <is>
          <t>Mind</t>
        </is>
      </c>
      <c r="D13" s="21" t="inlineStr">
        <is>
          <t>Daily</t>
        </is>
      </c>
      <c r="E13" s="22">
        <f>IF(D13="Daily",31,IF(D13="6x/week",26,IF(D13="5x/week",22,IF(D13="4x/week",18,IF(D13="3x/week",13,IF(D13="2x/week",9,IF(D13="1x/week",4,0)))))))</f>
        <v/>
      </c>
      <c r="F13" s="23">
        <f>COUNTIF(J13:AN13, "✔")</f>
        <v/>
      </c>
      <c r="G13" s="24">
        <f>IF(E13=0, 0, MIN(1, F13/E13))</f>
        <v/>
      </c>
      <c r="H13" s="25">
        <f>IFERROR(LOOKUP(9.99999999999999E+307, Streak_Helper!J13:AN13), 0)</f>
        <v/>
      </c>
      <c r="I13" s="26">
        <f>REPT("■", ROUND(G13*10,0)) &amp; REPT("░", 10 - ROUND(G13*10,0))</f>
        <v/>
      </c>
      <c r="J13" s="21" t="inlineStr">
        <is>
          <t>✔</t>
        </is>
      </c>
      <c r="K13" s="21" t="inlineStr">
        <is>
          <t>✔</t>
        </is>
      </c>
      <c r="L13" s="21" t="inlineStr">
        <is>
          <t>✔</t>
        </is>
      </c>
      <c r="M13" s="21" t="inlineStr"/>
      <c r="N13" s="21" t="inlineStr"/>
      <c r="O13" s="21" t="inlineStr"/>
      <c r="P13" s="21" t="inlineStr">
        <is>
          <t>✔</t>
        </is>
      </c>
      <c r="Q13" s="21" t="inlineStr">
        <is>
          <t>✔</t>
        </is>
      </c>
      <c r="R13" s="21" t="inlineStr">
        <is>
          <t>✔</t>
        </is>
      </c>
      <c r="S13" s="21" t="inlineStr"/>
      <c r="T13" s="21" t="inlineStr">
        <is>
          <t>✔</t>
        </is>
      </c>
      <c r="U13" s="21" t="inlineStr"/>
      <c r="V13" s="21" t="inlineStr">
        <is>
          <t>✔</t>
        </is>
      </c>
      <c r="W13" s="21" t="inlineStr"/>
      <c r="X13" s="21" t="inlineStr">
        <is>
          <t>✔</t>
        </is>
      </c>
      <c r="Y13" s="21" t="inlineStr">
        <is>
          <t>✔</t>
        </is>
      </c>
      <c r="Z13" s="21" t="inlineStr">
        <is>
          <t>✔</t>
        </is>
      </c>
      <c r="AA13" s="21" t="inlineStr"/>
      <c r="AB13" s="21" t="inlineStr"/>
      <c r="AC13" s="21" t="inlineStr"/>
      <c r="AD13" s="21" t="inlineStr"/>
      <c r="AE13" s="21" t="inlineStr"/>
      <c r="AF13" s="21" t="inlineStr"/>
      <c r="AG13" s="21" t="inlineStr"/>
      <c r="AH13" s="21" t="inlineStr"/>
      <c r="AI13" s="21" t="inlineStr"/>
      <c r="AJ13" s="21" t="inlineStr"/>
      <c r="AK13" s="21" t="inlineStr"/>
      <c r="AL13" s="21" t="inlineStr"/>
      <c r="AM13" s="21" t="inlineStr"/>
      <c r="AN13" s="21" t="inlineStr"/>
    </row>
    <row r="14">
      <c r="B14" s="27" t="inlineStr">
        <is>
          <t>Strength Training</t>
        </is>
      </c>
      <c r="C14" s="28" t="inlineStr">
        <is>
          <t>Health</t>
        </is>
      </c>
      <c r="D14" s="28" t="inlineStr">
        <is>
          <t>3x/week</t>
        </is>
      </c>
      <c r="E14" s="29">
        <f>IF(D14="Daily",31,IF(D14="6x/week",26,IF(D14="5x/week",22,IF(D14="4x/week",18,IF(D14="3x/week",13,IF(D14="2x/week",9,IF(D14="1x/week",4,0)))))))</f>
        <v/>
      </c>
      <c r="F14" s="30">
        <f>COUNTIF(J14:AN14, "✔")</f>
        <v/>
      </c>
      <c r="G14" s="31">
        <f>IF(E14=0, 0, MIN(1, F14/E14))</f>
        <v/>
      </c>
      <c r="H14" s="32">
        <f>IFERROR(LOOKUP(9.99999999999999E+307, Streak_Helper!J14:AN14), 0)</f>
        <v/>
      </c>
      <c r="I14" s="33">
        <f>REPT("■", ROUND(G14*10,0)) &amp; REPT("░", 10 - ROUND(G14*10,0))</f>
        <v/>
      </c>
      <c r="J14" s="28" t="inlineStr"/>
      <c r="K14" s="28" t="inlineStr">
        <is>
          <t>✔</t>
        </is>
      </c>
      <c r="L14" s="28" t="inlineStr">
        <is>
          <t>✔</t>
        </is>
      </c>
      <c r="M14" s="28" t="inlineStr">
        <is>
          <t>✔</t>
        </is>
      </c>
      <c r="N14" s="28" t="inlineStr">
        <is>
          <t>✔</t>
        </is>
      </c>
      <c r="O14" s="28" t="inlineStr">
        <is>
          <t>✔</t>
        </is>
      </c>
      <c r="P14" s="28" t="inlineStr">
        <is>
          <t>✔</t>
        </is>
      </c>
      <c r="Q14" s="28" t="inlineStr">
        <is>
          <t>✔</t>
        </is>
      </c>
      <c r="R14" s="28" t="inlineStr">
        <is>
          <t>—</t>
        </is>
      </c>
      <c r="S14" s="28" t="inlineStr">
        <is>
          <t>✔</t>
        </is>
      </c>
      <c r="T14" s="28" t="inlineStr">
        <is>
          <t>✔</t>
        </is>
      </c>
      <c r="U14" s="28" t="inlineStr">
        <is>
          <t>—</t>
        </is>
      </c>
      <c r="V14" s="28" t="inlineStr">
        <is>
          <t>✔</t>
        </is>
      </c>
      <c r="W14" s="28" t="inlineStr">
        <is>
          <t>✔</t>
        </is>
      </c>
      <c r="X14" s="28" t="inlineStr">
        <is>
          <t>✔</t>
        </is>
      </c>
      <c r="Y14" s="28" t="inlineStr">
        <is>
          <t>✔</t>
        </is>
      </c>
      <c r="Z14" s="28" t="inlineStr">
        <is>
          <t>✔</t>
        </is>
      </c>
      <c r="AA14" s="28" t="inlineStr">
        <is>
          <t>✔</t>
        </is>
      </c>
      <c r="AB14" s="28" t="inlineStr"/>
      <c r="AC14" s="28" t="inlineStr"/>
      <c r="AD14" s="28" t="inlineStr"/>
      <c r="AE14" s="28" t="inlineStr"/>
      <c r="AF14" s="28" t="inlineStr"/>
      <c r="AG14" s="28" t="inlineStr"/>
      <c r="AH14" s="28" t="inlineStr"/>
      <c r="AI14" s="28" t="inlineStr"/>
      <c r="AJ14" s="28" t="inlineStr"/>
      <c r="AK14" s="28" t="inlineStr"/>
      <c r="AL14" s="28" t="inlineStr"/>
      <c r="AM14" s="28" t="inlineStr"/>
      <c r="AN14" s="28" t="inlineStr"/>
    </row>
    <row r="15">
      <c r="B15" s="20" t="inlineStr">
        <is>
          <t>Read 15 Pages</t>
        </is>
      </c>
      <c r="C15" s="21" t="inlineStr">
        <is>
          <t>Mind</t>
        </is>
      </c>
      <c r="D15" s="21" t="inlineStr">
        <is>
          <t>Daily</t>
        </is>
      </c>
      <c r="E15" s="22">
        <f>IF(D15="Daily",31,IF(D15="6x/week",26,IF(D15="5x/week",22,IF(D15="4x/week",18,IF(D15="3x/week",13,IF(D15="2x/week",9,IF(D15="1x/week",4,0)))))))</f>
        <v/>
      </c>
      <c r="F15" s="23">
        <f>COUNTIF(J15:AN15, "✔")</f>
        <v/>
      </c>
      <c r="G15" s="24">
        <f>IF(E15=0, 0, MIN(1, F15/E15))</f>
        <v/>
      </c>
      <c r="H15" s="25">
        <f>IFERROR(LOOKUP(9.99999999999999E+307, Streak_Helper!J15:AN15), 0)</f>
        <v/>
      </c>
      <c r="I15" s="26">
        <f>REPT("■", ROUND(G15*10,0)) &amp; REPT("░", 10 - ROUND(G15*10,0))</f>
        <v/>
      </c>
      <c r="J15" s="21" t="inlineStr"/>
      <c r="K15" s="21" t="inlineStr">
        <is>
          <t>✔</t>
        </is>
      </c>
      <c r="L15" s="21" t="inlineStr"/>
      <c r="M15" s="21" t="inlineStr">
        <is>
          <t>✔</t>
        </is>
      </c>
      <c r="N15" s="21" t="inlineStr">
        <is>
          <t>✔</t>
        </is>
      </c>
      <c r="O15" s="21" t="inlineStr"/>
      <c r="P15" s="21" t="inlineStr"/>
      <c r="Q15" s="21" t="inlineStr">
        <is>
          <t>✔</t>
        </is>
      </c>
      <c r="R15" s="21" t="inlineStr">
        <is>
          <t>✔</t>
        </is>
      </c>
      <c r="S15" s="21" t="inlineStr"/>
      <c r="T15" s="21" t="inlineStr">
        <is>
          <t>✔</t>
        </is>
      </c>
      <c r="U15" s="21" t="inlineStr">
        <is>
          <t>✔</t>
        </is>
      </c>
      <c r="V15" s="21" t="inlineStr"/>
      <c r="W15" s="21" t="inlineStr"/>
      <c r="X15" s="21" t="inlineStr">
        <is>
          <t>✔</t>
        </is>
      </c>
      <c r="Y15" s="21" t="inlineStr"/>
      <c r="Z15" s="21" t="inlineStr">
        <is>
          <t>✔</t>
        </is>
      </c>
      <c r="AA15" s="21" t="inlineStr">
        <is>
          <t>✔</t>
        </is>
      </c>
      <c r="AB15" s="21" t="inlineStr"/>
      <c r="AC15" s="21" t="inlineStr"/>
      <c r="AD15" s="21" t="inlineStr"/>
      <c r="AE15" s="21" t="inlineStr"/>
      <c r="AF15" s="21" t="inlineStr"/>
      <c r="AG15" s="21" t="inlineStr"/>
      <c r="AH15" s="21" t="inlineStr"/>
      <c r="AI15" s="21" t="inlineStr"/>
      <c r="AJ15" s="21" t="inlineStr"/>
      <c r="AK15" s="21" t="inlineStr"/>
      <c r="AL15" s="21" t="inlineStr"/>
      <c r="AM15" s="21" t="inlineStr"/>
      <c r="AN15" s="21" t="inlineStr"/>
    </row>
    <row r="16">
      <c r="B16" s="27" t="inlineStr">
        <is>
          <t>Drink 3L Water</t>
        </is>
      </c>
      <c r="C16" s="28" t="inlineStr">
        <is>
          <t>Health</t>
        </is>
      </c>
      <c r="D16" s="28" t="inlineStr">
        <is>
          <t>Daily</t>
        </is>
      </c>
      <c r="E16" s="29">
        <f>IF(D16="Daily",31,IF(D16="6x/week",26,IF(D16="5x/week",22,IF(D16="4x/week",18,IF(D16="3x/week",13,IF(D16="2x/week",9,IF(D16="1x/week",4,0)))))))</f>
        <v/>
      </c>
      <c r="F16" s="30">
        <f>COUNTIF(J16:AN16, "✔")</f>
        <v/>
      </c>
      <c r="G16" s="31">
        <f>IF(E16=0, 0, MIN(1, F16/E16))</f>
        <v/>
      </c>
      <c r="H16" s="32">
        <f>IFERROR(LOOKUP(9.99999999999999E+307, Streak_Helper!J16:AN16), 0)</f>
        <v/>
      </c>
      <c r="I16" s="33">
        <f>REPT("■", ROUND(G16*10,0)) &amp; REPT("░", 10 - ROUND(G16*10,0))</f>
        <v/>
      </c>
      <c r="J16" s="28" t="inlineStr">
        <is>
          <t>✔</t>
        </is>
      </c>
      <c r="K16" s="28" t="inlineStr">
        <is>
          <t>✔</t>
        </is>
      </c>
      <c r="L16" s="28" t="inlineStr">
        <is>
          <t>✔</t>
        </is>
      </c>
      <c r="M16" s="28" t="inlineStr"/>
      <c r="N16" s="28" t="inlineStr">
        <is>
          <t>✔</t>
        </is>
      </c>
      <c r="O16" s="28" t="inlineStr">
        <is>
          <t>✔</t>
        </is>
      </c>
      <c r="P16" s="28" t="inlineStr">
        <is>
          <t>✔</t>
        </is>
      </c>
      <c r="Q16" s="28" t="inlineStr">
        <is>
          <t>✔</t>
        </is>
      </c>
      <c r="R16" s="28" t="inlineStr">
        <is>
          <t>✔</t>
        </is>
      </c>
      <c r="S16" s="28" t="inlineStr"/>
      <c r="T16" s="28" t="inlineStr">
        <is>
          <t>✔</t>
        </is>
      </c>
      <c r="U16" s="28" t="inlineStr">
        <is>
          <t>✔</t>
        </is>
      </c>
      <c r="V16" s="28" t="inlineStr"/>
      <c r="W16" s="28" t="inlineStr"/>
      <c r="X16" s="28" t="inlineStr">
        <is>
          <t>✔</t>
        </is>
      </c>
      <c r="Y16" s="28" t="inlineStr">
        <is>
          <t>✔</t>
        </is>
      </c>
      <c r="Z16" s="28" t="inlineStr">
        <is>
          <t>✔</t>
        </is>
      </c>
      <c r="AA16" s="28" t="inlineStr">
        <is>
          <t>✔</t>
        </is>
      </c>
      <c r="AB16" s="28" t="inlineStr"/>
      <c r="AC16" s="28" t="inlineStr"/>
      <c r="AD16" s="28" t="inlineStr"/>
      <c r="AE16" s="28" t="inlineStr"/>
      <c r="AF16" s="28" t="inlineStr"/>
      <c r="AG16" s="28" t="inlineStr"/>
      <c r="AH16" s="28" t="inlineStr"/>
      <c r="AI16" s="28" t="inlineStr"/>
      <c r="AJ16" s="28" t="inlineStr"/>
      <c r="AK16" s="28" t="inlineStr"/>
      <c r="AL16" s="28" t="inlineStr"/>
      <c r="AM16" s="28" t="inlineStr"/>
      <c r="AN16" s="28" t="inlineStr"/>
    </row>
    <row r="17">
      <c r="B17" s="20" t="inlineStr">
        <is>
          <t>Journaling</t>
        </is>
      </c>
      <c r="C17" s="21" t="inlineStr">
        <is>
          <t>Mind</t>
        </is>
      </c>
      <c r="D17" s="21" t="inlineStr">
        <is>
          <t>Daily</t>
        </is>
      </c>
      <c r="E17" s="22">
        <f>IF(D17="Daily",31,IF(D17="6x/week",26,IF(D17="5x/week",22,IF(D17="4x/week",18,IF(D17="3x/week",13,IF(D17="2x/week",9,IF(D17="1x/week",4,0)))))))</f>
        <v/>
      </c>
      <c r="F17" s="23">
        <f>COUNTIF(J17:AN17, "✔")</f>
        <v/>
      </c>
      <c r="G17" s="24">
        <f>IF(E17=0, 0, MIN(1, F17/E17))</f>
        <v/>
      </c>
      <c r="H17" s="25">
        <f>IFERROR(LOOKUP(9.99999999999999E+307, Streak_Helper!J17:AN17), 0)</f>
        <v/>
      </c>
      <c r="I17" s="26">
        <f>REPT("■", ROUND(G17*10,0)) &amp; REPT("░", 10 - ROUND(G17*10,0))</f>
        <v/>
      </c>
      <c r="J17" s="21" t="inlineStr"/>
      <c r="K17" s="21" t="inlineStr"/>
      <c r="L17" s="21" t="inlineStr"/>
      <c r="M17" s="21" t="inlineStr"/>
      <c r="N17" s="21" t="inlineStr">
        <is>
          <t>✔</t>
        </is>
      </c>
      <c r="O17" s="21" t="inlineStr">
        <is>
          <t>✔</t>
        </is>
      </c>
      <c r="P17" s="21" t="inlineStr">
        <is>
          <t>✔</t>
        </is>
      </c>
      <c r="Q17" s="21" t="inlineStr">
        <is>
          <t>✔</t>
        </is>
      </c>
      <c r="R17" s="21" t="inlineStr"/>
      <c r="S17" s="21" t="inlineStr"/>
      <c r="T17" s="21" t="inlineStr">
        <is>
          <t>✔</t>
        </is>
      </c>
      <c r="U17" s="21" t="inlineStr">
        <is>
          <t>✔</t>
        </is>
      </c>
      <c r="V17" s="21" t="inlineStr">
        <is>
          <t>✔</t>
        </is>
      </c>
      <c r="W17" s="21" t="inlineStr">
        <is>
          <t>✔</t>
        </is>
      </c>
      <c r="X17" s="21" t="inlineStr">
        <is>
          <t>✔</t>
        </is>
      </c>
      <c r="Y17" s="21" t="inlineStr"/>
      <c r="Z17" s="21" t="inlineStr"/>
      <c r="AA17" s="21" t="inlineStr">
        <is>
          <t>✔</t>
        </is>
      </c>
      <c r="AB17" s="21" t="inlineStr"/>
      <c r="AC17" s="21" t="inlineStr"/>
      <c r="AD17" s="21" t="inlineStr"/>
      <c r="AE17" s="21" t="inlineStr"/>
      <c r="AF17" s="21" t="inlineStr"/>
      <c r="AG17" s="21" t="inlineStr"/>
      <c r="AH17" s="21" t="inlineStr"/>
      <c r="AI17" s="21" t="inlineStr"/>
      <c r="AJ17" s="21" t="inlineStr"/>
      <c r="AK17" s="21" t="inlineStr"/>
      <c r="AL17" s="21" t="inlineStr"/>
      <c r="AM17" s="21" t="inlineStr"/>
      <c r="AN17" s="21" t="inlineStr"/>
    </row>
    <row r="18">
      <c r="B18" s="27" t="inlineStr">
        <is>
          <t>No Spend Day</t>
        </is>
      </c>
      <c r="C18" s="28" t="inlineStr">
        <is>
          <t>Finance</t>
        </is>
      </c>
      <c r="D18" s="28" t="inlineStr">
        <is>
          <t>Daily</t>
        </is>
      </c>
      <c r="E18" s="29">
        <f>IF(D18="Daily",31,IF(D18="6x/week",26,IF(D18="5x/week",22,IF(D18="4x/week",18,IF(D18="3x/week",13,IF(D18="2x/week",9,IF(D18="1x/week",4,0)))))))</f>
        <v/>
      </c>
      <c r="F18" s="30">
        <f>COUNTIF(J18:AN18, "✔")</f>
        <v/>
      </c>
      <c r="G18" s="31">
        <f>IF(E18=0, 0, MIN(1, F18/E18))</f>
        <v/>
      </c>
      <c r="H18" s="32">
        <f>IFERROR(LOOKUP(9.99999999999999E+307, Streak_Helper!J18:AN18), 0)</f>
        <v/>
      </c>
      <c r="I18" s="33">
        <f>REPT("■", ROUND(G18*10,0)) &amp; REPT("░", 10 - ROUND(G18*10,0))</f>
        <v/>
      </c>
      <c r="J18" s="28" t="inlineStr">
        <is>
          <t>✔</t>
        </is>
      </c>
      <c r="K18" s="28" t="inlineStr"/>
      <c r="L18" s="28" t="inlineStr">
        <is>
          <t>✔</t>
        </is>
      </c>
      <c r="M18" s="28" t="inlineStr"/>
      <c r="N18" s="28" t="inlineStr">
        <is>
          <t>✔</t>
        </is>
      </c>
      <c r="O18" s="28" t="inlineStr"/>
      <c r="P18" s="28" t="inlineStr"/>
      <c r="Q18" s="28" t="inlineStr"/>
      <c r="R18" s="28" t="inlineStr">
        <is>
          <t>✔</t>
        </is>
      </c>
      <c r="S18" s="28" t="inlineStr">
        <is>
          <t>✔</t>
        </is>
      </c>
      <c r="T18" s="28" t="inlineStr">
        <is>
          <t>✔</t>
        </is>
      </c>
      <c r="U18" s="28" t="inlineStr">
        <is>
          <t>✔</t>
        </is>
      </c>
      <c r="V18" s="28" t="inlineStr">
        <is>
          <t>✔</t>
        </is>
      </c>
      <c r="W18" s="28" t="inlineStr"/>
      <c r="X18" s="28" t="inlineStr"/>
      <c r="Y18" s="28" t="inlineStr">
        <is>
          <t>✔</t>
        </is>
      </c>
      <c r="Z18" s="28" t="inlineStr">
        <is>
          <t>✔</t>
        </is>
      </c>
      <c r="AA18" s="28" t="inlineStr"/>
      <c r="AB18" s="28" t="inlineStr"/>
      <c r="AC18" s="28" t="inlineStr"/>
      <c r="AD18" s="28" t="inlineStr"/>
      <c r="AE18" s="28" t="inlineStr"/>
      <c r="AF18" s="28" t="inlineStr"/>
      <c r="AG18" s="28" t="inlineStr"/>
      <c r="AH18" s="28" t="inlineStr"/>
      <c r="AI18" s="28" t="inlineStr"/>
      <c r="AJ18" s="28" t="inlineStr"/>
      <c r="AK18" s="28" t="inlineStr"/>
      <c r="AL18" s="28" t="inlineStr"/>
      <c r="AM18" s="28" t="inlineStr"/>
      <c r="AN18" s="28" t="inlineStr"/>
    </row>
    <row r="19">
      <c r="B19" s="20" t="inlineStr">
        <is>
          <t>Stretch / Mobility</t>
        </is>
      </c>
      <c r="C19" s="21" t="inlineStr">
        <is>
          <t>Health</t>
        </is>
      </c>
      <c r="D19" s="21" t="inlineStr">
        <is>
          <t>Daily</t>
        </is>
      </c>
      <c r="E19" s="22">
        <f>IF(D19="Daily",31,IF(D19="6x/week",26,IF(D19="5x/week",22,IF(D19="4x/week",18,IF(D19="3x/week",13,IF(D19="2x/week",9,IF(D19="1x/week",4,0)))))))</f>
        <v/>
      </c>
      <c r="F19" s="23">
        <f>COUNTIF(J19:AN19, "✔")</f>
        <v/>
      </c>
      <c r="G19" s="24">
        <f>IF(E19=0, 0, MIN(1, F19/E19))</f>
        <v/>
      </c>
      <c r="H19" s="25">
        <f>IFERROR(LOOKUP(9.99999999999999E+307, Streak_Helper!J19:AN19), 0)</f>
        <v/>
      </c>
      <c r="I19" s="26">
        <f>REPT("■", ROUND(G19*10,0)) &amp; REPT("░", 10 - ROUND(G19*10,0))</f>
        <v/>
      </c>
      <c r="J19" s="21" t="inlineStr">
        <is>
          <t>✔</t>
        </is>
      </c>
      <c r="K19" s="21" t="inlineStr">
        <is>
          <t>✔</t>
        </is>
      </c>
      <c r="L19" s="21" t="inlineStr">
        <is>
          <t>✔</t>
        </is>
      </c>
      <c r="M19" s="21" t="inlineStr"/>
      <c r="N19" s="21" t="inlineStr">
        <is>
          <t>✔</t>
        </is>
      </c>
      <c r="O19" s="21" t="inlineStr"/>
      <c r="P19" s="21" t="inlineStr">
        <is>
          <t>✔</t>
        </is>
      </c>
      <c r="Q19" s="21" t="inlineStr">
        <is>
          <t>✔</t>
        </is>
      </c>
      <c r="R19" s="21" t="inlineStr"/>
      <c r="S19" s="21" t="inlineStr"/>
      <c r="T19" s="21" t="inlineStr"/>
      <c r="U19" s="21" t="inlineStr">
        <is>
          <t>✔</t>
        </is>
      </c>
      <c r="V19" s="21" t="inlineStr">
        <is>
          <t>✔</t>
        </is>
      </c>
      <c r="W19" s="21" t="inlineStr">
        <is>
          <t>✔</t>
        </is>
      </c>
      <c r="X19" s="21" t="inlineStr">
        <is>
          <t>✔</t>
        </is>
      </c>
      <c r="Y19" s="21" t="inlineStr">
        <is>
          <t>✔</t>
        </is>
      </c>
      <c r="Z19" s="21" t="inlineStr"/>
      <c r="AA19" s="21" t="inlineStr"/>
      <c r="AB19" s="21" t="inlineStr"/>
      <c r="AC19" s="21" t="inlineStr"/>
      <c r="AD19" s="21" t="inlineStr"/>
      <c r="AE19" s="21" t="inlineStr"/>
      <c r="AF19" s="21" t="inlineStr"/>
      <c r="AG19" s="21" t="inlineStr"/>
      <c r="AH19" s="21" t="inlineStr"/>
      <c r="AI19" s="21" t="inlineStr"/>
      <c r="AJ19" s="21" t="inlineStr"/>
      <c r="AK19" s="21" t="inlineStr"/>
      <c r="AL19" s="21" t="inlineStr"/>
      <c r="AM19" s="21" t="inlineStr"/>
      <c r="AN19" s="21" t="inlineStr"/>
    </row>
    <row r="20">
      <c r="B20" s="27" t="inlineStr">
        <is>
          <t>Learn Coding</t>
        </is>
      </c>
      <c r="C20" s="28" t="inlineStr">
        <is>
          <t>Career</t>
        </is>
      </c>
      <c r="D20" s="28" t="inlineStr">
        <is>
          <t>5x/week</t>
        </is>
      </c>
      <c r="E20" s="29">
        <f>IF(D20="Daily",31,IF(D20="6x/week",26,IF(D20="5x/week",22,IF(D20="4x/week",18,IF(D20="3x/week",13,IF(D20="2x/week",9,IF(D20="1x/week",4,0)))))))</f>
        <v/>
      </c>
      <c r="F20" s="30">
        <f>COUNTIF(J20:AN20, "✔")</f>
        <v/>
      </c>
      <c r="G20" s="31">
        <f>IF(E20=0, 0, MIN(1, F20/E20))</f>
        <v/>
      </c>
      <c r="H20" s="32">
        <f>IFERROR(LOOKUP(9.99999999999999E+307, Streak_Helper!J20:AN20), 0)</f>
        <v/>
      </c>
      <c r="I20" s="33">
        <f>REPT("■", ROUND(G20*10,0)) &amp; REPT("░", 10 - ROUND(G20*10,0))</f>
        <v/>
      </c>
      <c r="J20" s="28" t="inlineStr">
        <is>
          <t>✔</t>
        </is>
      </c>
      <c r="K20" s="28" t="inlineStr">
        <is>
          <t>✔</t>
        </is>
      </c>
      <c r="L20" s="28" t="inlineStr">
        <is>
          <t>✔</t>
        </is>
      </c>
      <c r="M20" s="28" t="inlineStr">
        <is>
          <t>✔</t>
        </is>
      </c>
      <c r="N20" s="28" t="inlineStr"/>
      <c r="O20" s="28" t="inlineStr">
        <is>
          <t>✔</t>
        </is>
      </c>
      <c r="P20" s="28" t="inlineStr"/>
      <c r="Q20" s="28" t="inlineStr"/>
      <c r="R20" s="28" t="inlineStr">
        <is>
          <t>✔</t>
        </is>
      </c>
      <c r="S20" s="28" t="inlineStr"/>
      <c r="T20" s="28" t="inlineStr">
        <is>
          <t>—</t>
        </is>
      </c>
      <c r="U20" s="28" t="inlineStr">
        <is>
          <t>✔</t>
        </is>
      </c>
      <c r="V20" s="28" t="inlineStr">
        <is>
          <t>✔</t>
        </is>
      </c>
      <c r="W20" s="28" t="inlineStr">
        <is>
          <t>✔</t>
        </is>
      </c>
      <c r="X20" s="28" t="inlineStr">
        <is>
          <t>✔</t>
        </is>
      </c>
      <c r="Y20" s="28" t="inlineStr">
        <is>
          <t>✔</t>
        </is>
      </c>
      <c r="Z20" s="28" t="inlineStr">
        <is>
          <t>✔</t>
        </is>
      </c>
      <c r="AA20" s="28" t="inlineStr">
        <is>
          <t>✔</t>
        </is>
      </c>
      <c r="AB20" s="28" t="inlineStr"/>
      <c r="AC20" s="28" t="inlineStr"/>
      <c r="AD20" s="28" t="inlineStr"/>
      <c r="AE20" s="28" t="inlineStr"/>
      <c r="AF20" s="28" t="inlineStr"/>
      <c r="AG20" s="28" t="inlineStr"/>
      <c r="AH20" s="28" t="inlineStr"/>
      <c r="AI20" s="28" t="inlineStr"/>
      <c r="AJ20" s="28" t="inlineStr"/>
      <c r="AK20" s="28" t="inlineStr"/>
      <c r="AL20" s="28" t="inlineStr"/>
      <c r="AM20" s="28" t="inlineStr"/>
      <c r="AN20" s="28" t="inlineStr"/>
    </row>
    <row r="21">
      <c r="B21" s="20" t="inlineStr">
        <is>
          <t>Sleep by 11 PM</t>
        </is>
      </c>
      <c r="C21" s="21" t="inlineStr">
        <is>
          <t>Health</t>
        </is>
      </c>
      <c r="D21" s="21" t="inlineStr">
        <is>
          <t>Daily</t>
        </is>
      </c>
      <c r="E21" s="22">
        <f>IF(D21="Daily",31,IF(D21="6x/week",26,IF(D21="5x/week",22,IF(D21="4x/week",18,IF(D21="3x/week",13,IF(D21="2x/week",9,IF(D21="1x/week",4,0)))))))</f>
        <v/>
      </c>
      <c r="F21" s="23">
        <f>COUNTIF(J21:AN21, "✔")</f>
        <v/>
      </c>
      <c r="G21" s="24">
        <f>IF(E21=0, 0, MIN(1, F21/E21))</f>
        <v/>
      </c>
      <c r="H21" s="25">
        <f>IFERROR(LOOKUP(9.99999999999999E+307, Streak_Helper!J21:AN21), 0)</f>
        <v/>
      </c>
      <c r="I21" s="26">
        <f>REPT("■", ROUND(G21*10,0)) &amp; REPT("░", 10 - ROUND(G21*10,0))</f>
        <v/>
      </c>
      <c r="J21" s="21" t="inlineStr">
        <is>
          <t>✔</t>
        </is>
      </c>
      <c r="K21" s="21" t="inlineStr"/>
      <c r="L21" s="21" t="inlineStr"/>
      <c r="M21" s="21" t="inlineStr"/>
      <c r="N21" s="21" t="inlineStr"/>
      <c r="O21" s="21" t="inlineStr">
        <is>
          <t>✔</t>
        </is>
      </c>
      <c r="P21" s="21" t="inlineStr">
        <is>
          <t>✔</t>
        </is>
      </c>
      <c r="Q21" s="21" t="inlineStr"/>
      <c r="R21" s="21" t="inlineStr">
        <is>
          <t>✔</t>
        </is>
      </c>
      <c r="S21" s="21" t="inlineStr"/>
      <c r="T21" s="21" t="inlineStr">
        <is>
          <t>✔</t>
        </is>
      </c>
      <c r="U21" s="21" t="inlineStr"/>
      <c r="V21" s="21" t="inlineStr"/>
      <c r="W21" s="21" t="inlineStr">
        <is>
          <t>✔</t>
        </is>
      </c>
      <c r="X21" s="21" t="inlineStr">
        <is>
          <t>✔</t>
        </is>
      </c>
      <c r="Y21" s="21" t="inlineStr">
        <is>
          <t>✔</t>
        </is>
      </c>
      <c r="Z21" s="21" t="inlineStr">
        <is>
          <t>✔</t>
        </is>
      </c>
      <c r="AA21" s="21" t="inlineStr">
        <is>
          <t>✔</t>
        </is>
      </c>
      <c r="AB21" s="21" t="inlineStr"/>
      <c r="AC21" s="21" t="inlineStr"/>
      <c r="AD21" s="21" t="inlineStr"/>
      <c r="AE21" s="21" t="inlineStr"/>
      <c r="AF21" s="21" t="inlineStr"/>
      <c r="AG21" s="21" t="inlineStr"/>
      <c r="AH21" s="21" t="inlineStr"/>
      <c r="AI21" s="21" t="inlineStr"/>
      <c r="AJ21" s="21" t="inlineStr"/>
      <c r="AK21" s="21" t="inlineStr"/>
      <c r="AL21" s="21" t="inlineStr"/>
      <c r="AM21" s="21" t="inlineStr"/>
      <c r="AN21" s="21" t="inlineStr"/>
    </row>
    <row r="22">
      <c r="B22" s="27" t="inlineStr">
        <is>
          <t>Plan Tomorrow</t>
        </is>
      </c>
      <c r="C22" s="28" t="inlineStr">
        <is>
          <t>Routine</t>
        </is>
      </c>
      <c r="D22" s="28" t="inlineStr">
        <is>
          <t>Daily</t>
        </is>
      </c>
      <c r="E22" s="29">
        <f>IF(D22="Daily",31,IF(D22="6x/week",26,IF(D22="5x/week",22,IF(D22="4x/week",18,IF(D22="3x/week",13,IF(D22="2x/week",9,IF(D22="1x/week",4,0)))))))</f>
        <v/>
      </c>
      <c r="F22" s="30">
        <f>COUNTIF(J22:AN22, "✔")</f>
        <v/>
      </c>
      <c r="G22" s="31">
        <f>IF(E22=0, 0, MIN(1, F22/E22))</f>
        <v/>
      </c>
      <c r="H22" s="32">
        <f>IFERROR(LOOKUP(9.99999999999999E+307, Streak_Helper!J22:AN22), 0)</f>
        <v/>
      </c>
      <c r="I22" s="33">
        <f>REPT("■", ROUND(G22*10,0)) &amp; REPT("░", 10 - ROUND(G22*10,0))</f>
        <v/>
      </c>
      <c r="J22" s="28" t="inlineStr">
        <is>
          <t>✔</t>
        </is>
      </c>
      <c r="K22" s="28" t="inlineStr">
        <is>
          <t>✔</t>
        </is>
      </c>
      <c r="L22" s="28" t="inlineStr">
        <is>
          <t>✔</t>
        </is>
      </c>
      <c r="M22" s="28" t="inlineStr"/>
      <c r="N22" s="28" t="inlineStr">
        <is>
          <t>✔</t>
        </is>
      </c>
      <c r="O22" s="28" t="inlineStr"/>
      <c r="P22" s="28" t="inlineStr">
        <is>
          <t>✔</t>
        </is>
      </c>
      <c r="Q22" s="28" t="inlineStr">
        <is>
          <t>✔</t>
        </is>
      </c>
      <c r="R22" s="28" t="inlineStr"/>
      <c r="S22" s="28" t="inlineStr"/>
      <c r="T22" s="28" t="inlineStr">
        <is>
          <t>✔</t>
        </is>
      </c>
      <c r="U22" s="28" t="inlineStr"/>
      <c r="V22" s="28" t="inlineStr">
        <is>
          <t>✔</t>
        </is>
      </c>
      <c r="W22" s="28" t="inlineStr">
        <is>
          <t>✔</t>
        </is>
      </c>
      <c r="X22" s="28" t="inlineStr">
        <is>
          <t>✔</t>
        </is>
      </c>
      <c r="Y22" s="28" t="inlineStr"/>
      <c r="Z22" s="28" t="inlineStr">
        <is>
          <t>✔</t>
        </is>
      </c>
      <c r="AA22" s="28" t="inlineStr">
        <is>
          <t>✔</t>
        </is>
      </c>
      <c r="AB22" s="28" t="inlineStr"/>
      <c r="AC22" s="28" t="inlineStr"/>
      <c r="AD22" s="28" t="inlineStr"/>
      <c r="AE22" s="28" t="inlineStr"/>
      <c r="AF22" s="28" t="inlineStr"/>
      <c r="AG22" s="28" t="inlineStr"/>
      <c r="AH22" s="28" t="inlineStr"/>
      <c r="AI22" s="28" t="inlineStr"/>
      <c r="AJ22" s="28" t="inlineStr"/>
      <c r="AK22" s="28" t="inlineStr"/>
      <c r="AL22" s="28" t="inlineStr"/>
      <c r="AM22" s="28" t="inlineStr"/>
      <c r="AN22" s="28" t="inlineStr"/>
    </row>
    <row r="23">
      <c r="B23" s="20" t="inlineStr"/>
      <c r="C23" s="21" t="inlineStr"/>
      <c r="D23" s="21" t="inlineStr"/>
      <c r="E23" s="22">
        <f>IF(D23="Daily",31,IF(D23="6x/week",26,IF(D23="5x/week",22,IF(D23="4x/week",18,IF(D23="3x/week",13,IF(D23="2x/week",9,IF(D23="1x/week",4,0)))))))</f>
        <v/>
      </c>
      <c r="F23" s="23">
        <f>COUNTIF(J23:AN23, "✔")</f>
        <v/>
      </c>
      <c r="G23" s="24">
        <f>IF(E23=0, 0, MIN(1, F23/E23))</f>
        <v/>
      </c>
      <c r="H23" s="25">
        <f>IFERROR(LOOKUP(9.99999999999999E+307, Streak_Helper!J23:AN23), 0)</f>
        <v/>
      </c>
      <c r="I23" s="26">
        <f>REPT("■", ROUND(G23*10,0)) &amp; REPT("░", 10 - ROUND(G23*10,0))</f>
        <v/>
      </c>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1" t="inlineStr"/>
      <c r="AK23" s="21" t="inlineStr"/>
      <c r="AL23" s="21" t="inlineStr"/>
      <c r="AM23" s="21" t="inlineStr"/>
      <c r="AN23" s="21" t="inlineStr"/>
    </row>
    <row r="24">
      <c r="B24" s="27" t="inlineStr"/>
      <c r="C24" s="28" t="inlineStr"/>
      <c r="D24" s="28" t="inlineStr"/>
      <c r="E24" s="29">
        <f>IF(D24="Daily",31,IF(D24="6x/week",26,IF(D24="5x/week",22,IF(D24="4x/week",18,IF(D24="3x/week",13,IF(D24="2x/week",9,IF(D24="1x/week",4,0)))))))</f>
        <v/>
      </c>
      <c r="F24" s="30">
        <f>COUNTIF(J24:AN24, "✔")</f>
        <v/>
      </c>
      <c r="G24" s="31">
        <f>IF(E24=0, 0, MIN(1, F24/E24))</f>
        <v/>
      </c>
      <c r="H24" s="32">
        <f>IFERROR(LOOKUP(9.99999999999999E+307, Streak_Helper!J24:AN24), 0)</f>
        <v/>
      </c>
      <c r="I24" s="33">
        <f>REPT("■", ROUND(G24*10,0)) &amp; REPT("░", 10 - ROUND(G24*10,0))</f>
        <v/>
      </c>
      <c r="J24" s="28" t="inlineStr"/>
      <c r="K24" s="28" t="inlineStr"/>
      <c r="L24" s="28" t="inlineStr"/>
      <c r="M24" s="28" t="inlineStr"/>
      <c r="N24" s="28" t="inlineStr"/>
      <c r="O24" s="28" t="inlineStr"/>
      <c r="P24" s="28" t="inlineStr"/>
      <c r="Q24" s="28" t="inlineStr"/>
      <c r="R24" s="28" t="inlineStr"/>
      <c r="S24" s="28" t="inlineStr"/>
      <c r="T24" s="28" t="inlineStr"/>
      <c r="U24" s="28" t="inlineStr"/>
      <c r="V24" s="28" t="inlineStr"/>
      <c r="W24" s="28" t="inlineStr"/>
      <c r="X24" s="28" t="inlineStr"/>
      <c r="Y24" s="28" t="inlineStr"/>
      <c r="Z24" s="28" t="inlineStr"/>
      <c r="AA24" s="28" t="inlineStr"/>
      <c r="AB24" s="28" t="inlineStr"/>
      <c r="AC24" s="28" t="inlineStr"/>
      <c r="AD24" s="28" t="inlineStr"/>
      <c r="AE24" s="28" t="inlineStr"/>
      <c r="AF24" s="28" t="inlineStr"/>
      <c r="AG24" s="28" t="inlineStr"/>
      <c r="AH24" s="28" t="inlineStr"/>
      <c r="AI24" s="28" t="inlineStr"/>
      <c r="AJ24" s="28" t="inlineStr"/>
      <c r="AK24" s="28" t="inlineStr"/>
      <c r="AL24" s="28" t="inlineStr"/>
      <c r="AM24" s="28" t="inlineStr"/>
      <c r="AN24" s="28" t="inlineStr"/>
    </row>
    <row r="25">
      <c r="B25" s="20" t="inlineStr"/>
      <c r="C25" s="21" t="inlineStr"/>
      <c r="D25" s="21" t="inlineStr"/>
      <c r="E25" s="22">
        <f>IF(D25="Daily",31,IF(D25="6x/week",26,IF(D25="5x/week",22,IF(D25="4x/week",18,IF(D25="3x/week",13,IF(D25="2x/week",9,IF(D25="1x/week",4,0)))))))</f>
        <v/>
      </c>
      <c r="F25" s="23">
        <f>COUNTIF(J25:AN25, "✔")</f>
        <v/>
      </c>
      <c r="G25" s="24">
        <f>IF(E25=0, 0, MIN(1, F25/E25))</f>
        <v/>
      </c>
      <c r="H25" s="25">
        <f>IFERROR(LOOKUP(9.99999999999999E+307, Streak_Helper!J25:AN25), 0)</f>
        <v/>
      </c>
      <c r="I25" s="26">
        <f>REPT("■", ROUND(G25*10,0)) &amp; REPT("░", 10 - ROUND(G25*10,0))</f>
        <v/>
      </c>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1" t="inlineStr"/>
      <c r="AK25" s="21" t="inlineStr"/>
      <c r="AL25" s="21" t="inlineStr"/>
      <c r="AM25" s="21" t="inlineStr"/>
      <c r="AN25" s="21" t="inlineStr"/>
    </row>
    <row r="26">
      <c r="B26" s="27" t="inlineStr"/>
      <c r="C26" s="28" t="inlineStr"/>
      <c r="D26" s="28" t="inlineStr"/>
      <c r="E26" s="29">
        <f>IF(D26="Daily",31,IF(D26="6x/week",26,IF(D26="5x/week",22,IF(D26="4x/week",18,IF(D26="3x/week",13,IF(D26="2x/week",9,IF(D26="1x/week",4,0)))))))</f>
        <v/>
      </c>
      <c r="F26" s="30">
        <f>COUNTIF(J26:AN26, "✔")</f>
        <v/>
      </c>
      <c r="G26" s="31">
        <f>IF(E26=0, 0, MIN(1, F26/E26))</f>
        <v/>
      </c>
      <c r="H26" s="32">
        <f>IFERROR(LOOKUP(9.99999999999999E+307, Streak_Helper!J26:AN26), 0)</f>
        <v/>
      </c>
      <c r="I26" s="33">
        <f>REPT("■", ROUND(G26*10,0)) &amp; REPT("░", 10 - ROUND(G26*10,0))</f>
        <v/>
      </c>
      <c r="J26" s="28" t="inlineStr"/>
      <c r="K26" s="28" t="inlineStr"/>
      <c r="L26" s="28" t="inlineStr"/>
      <c r="M26" s="28" t="inlineStr"/>
      <c r="N26" s="28" t="inlineStr"/>
      <c r="O26" s="28" t="inlineStr"/>
      <c r="P26" s="28" t="inlineStr"/>
      <c r="Q26" s="28" t="inlineStr"/>
      <c r="R26" s="28" t="inlineStr"/>
      <c r="S26" s="28" t="inlineStr"/>
      <c r="T26" s="28" t="inlineStr"/>
      <c r="U26" s="28" t="inlineStr"/>
      <c r="V26" s="28" t="inlineStr"/>
      <c r="W26" s="28" t="inlineStr"/>
      <c r="X26" s="28" t="inlineStr"/>
      <c r="Y26" s="28" t="inlineStr"/>
      <c r="Z26" s="28" t="inlineStr"/>
      <c r="AA26" s="28" t="inlineStr"/>
      <c r="AB26" s="28" t="inlineStr"/>
      <c r="AC26" s="28" t="inlineStr"/>
      <c r="AD26" s="28" t="inlineStr"/>
      <c r="AE26" s="28" t="inlineStr"/>
      <c r="AF26" s="28" t="inlineStr"/>
      <c r="AG26" s="28" t="inlineStr"/>
      <c r="AH26" s="28" t="inlineStr"/>
      <c r="AI26" s="28" t="inlineStr"/>
      <c r="AJ26" s="28" t="inlineStr"/>
      <c r="AK26" s="28" t="inlineStr"/>
      <c r="AL26" s="28" t="inlineStr"/>
      <c r="AM26" s="28" t="inlineStr"/>
      <c r="AN26" s="28" t="inlineStr"/>
    </row>
    <row r="27">
      <c r="B27" s="20" t="inlineStr"/>
      <c r="C27" s="21" t="inlineStr"/>
      <c r="D27" s="21" t="inlineStr"/>
      <c r="E27" s="22">
        <f>IF(D27="Daily",31,IF(D27="6x/week",26,IF(D27="5x/week",22,IF(D27="4x/week",18,IF(D27="3x/week",13,IF(D27="2x/week",9,IF(D27="1x/week",4,0)))))))</f>
        <v/>
      </c>
      <c r="F27" s="23">
        <f>COUNTIF(J27:AN27, "✔")</f>
        <v/>
      </c>
      <c r="G27" s="24">
        <f>IF(E27=0, 0, MIN(1, F27/E27))</f>
        <v/>
      </c>
      <c r="H27" s="25">
        <f>IFERROR(LOOKUP(9.99999999999999E+307, Streak_Helper!J27:AN27), 0)</f>
        <v/>
      </c>
      <c r="I27" s="26">
        <f>REPT("■", ROUND(G27*10,0)) &amp; REPT("░", 10 - ROUND(G27*10,0))</f>
        <v/>
      </c>
      <c r="J27" s="21" t="inlineStr"/>
      <c r="K27" s="21" t="inlineStr"/>
      <c r="L27" s="21" t="inlineStr"/>
      <c r="M27" s="21" t="inlineStr"/>
      <c r="N27" s="21" t="inlineStr"/>
      <c r="O27" s="21" t="inlineStr"/>
      <c r="P27" s="21" t="inlineStr"/>
      <c r="Q27" s="21" t="inlineStr"/>
      <c r="R27" s="21" t="inlineStr"/>
      <c r="S27" s="21" t="inlineStr"/>
      <c r="T27" s="21" t="inlineStr"/>
      <c r="U27" s="21" t="inlineStr"/>
      <c r="V27" s="21" t="inlineStr"/>
      <c r="W27" s="21" t="inlineStr"/>
      <c r="X27" s="21" t="inlineStr"/>
      <c r="Y27" s="21" t="inlineStr"/>
      <c r="Z27" s="21" t="inlineStr"/>
      <c r="AA27" s="21" t="inlineStr"/>
      <c r="AB27" s="21" t="inlineStr"/>
      <c r="AC27" s="21" t="inlineStr"/>
      <c r="AD27" s="21" t="inlineStr"/>
      <c r="AE27" s="21" t="inlineStr"/>
      <c r="AF27" s="21" t="inlineStr"/>
      <c r="AG27" s="21" t="inlineStr"/>
      <c r="AH27" s="21" t="inlineStr"/>
      <c r="AI27" s="21" t="inlineStr"/>
      <c r="AJ27" s="21" t="inlineStr"/>
      <c r="AK27" s="21" t="inlineStr"/>
      <c r="AL27" s="21" t="inlineStr"/>
      <c r="AM27" s="21" t="inlineStr"/>
      <c r="AN27" s="21" t="inlineStr"/>
    </row>
    <row r="28" ht="24" customHeight="1">
      <c r="B28" s="34" t="inlineStr">
        <is>
          <t>Daily Performance Total</t>
        </is>
      </c>
      <c r="C28" s="35" t="n"/>
      <c r="D28" s="35" t="n"/>
      <c r="E28" s="35" t="n"/>
      <c r="F28" s="36">
        <f>SUM(F13:F27)</f>
        <v/>
      </c>
      <c r="G28" s="37">
        <f>AVERAGE(G13:G27)</f>
        <v/>
      </c>
      <c r="H28" s="35" t="n"/>
      <c r="I28" s="35" t="n"/>
      <c r="J28" s="38">
        <f>COUNTIF(J13:J27, "✔")</f>
        <v/>
      </c>
      <c r="K28" s="38">
        <f>COUNTIF(K13:K27, "✔")</f>
        <v/>
      </c>
      <c r="L28" s="38">
        <f>COUNTIF(L13:L27, "✔")</f>
        <v/>
      </c>
      <c r="M28" s="38">
        <f>COUNTIF(M13:M27, "✔")</f>
        <v/>
      </c>
      <c r="N28" s="38">
        <f>COUNTIF(N13:N27, "✔")</f>
        <v/>
      </c>
      <c r="O28" s="38">
        <f>COUNTIF(O13:O27, "✔")</f>
        <v/>
      </c>
      <c r="P28" s="38">
        <f>COUNTIF(P13:P27, "✔")</f>
        <v/>
      </c>
      <c r="Q28" s="38">
        <f>COUNTIF(Q13:Q27, "✔")</f>
        <v/>
      </c>
      <c r="R28" s="38">
        <f>COUNTIF(R13:R27, "✔")</f>
        <v/>
      </c>
      <c r="S28" s="38">
        <f>COUNTIF(S13:S27, "✔")</f>
        <v/>
      </c>
      <c r="T28" s="38">
        <f>COUNTIF(T13:T27, "✔")</f>
        <v/>
      </c>
      <c r="U28" s="38">
        <f>COUNTIF(U13:U27, "✔")</f>
        <v/>
      </c>
      <c r="V28" s="38">
        <f>COUNTIF(V13:V27, "✔")</f>
        <v/>
      </c>
      <c r="W28" s="38">
        <f>COUNTIF(W13:W27, "✔")</f>
        <v/>
      </c>
      <c r="X28" s="38">
        <f>COUNTIF(X13:X27, "✔")</f>
        <v/>
      </c>
      <c r="Y28" s="38">
        <f>COUNTIF(Y13:Y27, "✔")</f>
        <v/>
      </c>
      <c r="Z28" s="38">
        <f>COUNTIF(Z13:Z27, "✔")</f>
        <v/>
      </c>
      <c r="AA28" s="38">
        <f>COUNTIF(AA13:AA27, "✔")</f>
        <v/>
      </c>
      <c r="AB28" s="38">
        <f>COUNTIF(AB13:AB27, "✔")</f>
        <v/>
      </c>
      <c r="AC28" s="38">
        <f>COUNTIF(AC13:AC27, "✔")</f>
        <v/>
      </c>
      <c r="AD28" s="38">
        <f>COUNTIF(AD13:AD27, "✔")</f>
        <v/>
      </c>
      <c r="AE28" s="38">
        <f>COUNTIF(AE13:AE27, "✔")</f>
        <v/>
      </c>
      <c r="AF28" s="38">
        <f>COUNTIF(AF13:AF27, "✔")</f>
        <v/>
      </c>
      <c r="AG28" s="38">
        <f>COUNTIF(AG13:AG27, "✔")</f>
        <v/>
      </c>
      <c r="AH28" s="38">
        <f>COUNTIF(AH13:AH27, "✔")</f>
        <v/>
      </c>
      <c r="AI28" s="38">
        <f>COUNTIF(AI13:AI27, "✔")</f>
        <v/>
      </c>
      <c r="AJ28" s="38">
        <f>COUNTIF(AJ13:AJ27, "✔")</f>
        <v/>
      </c>
      <c r="AK28" s="38">
        <f>COUNTIF(AK13:AK27, "✔")</f>
        <v/>
      </c>
      <c r="AL28" s="38">
        <f>COUNTIF(AL13:AL27, "✔")</f>
        <v/>
      </c>
      <c r="AM28" s="38">
        <f>COUNTIF(AM13:AM27, "✔")</f>
        <v/>
      </c>
      <c r="AN28" s="38">
        <f>COUNTIF(AN13:AN27, "✔")</f>
        <v/>
      </c>
    </row>
  </sheetData>
  <mergeCells count="14">
    <mergeCell ref="B6:D7"/>
    <mergeCell ref="J6:L7"/>
    <mergeCell ref="F6:H7"/>
    <mergeCell ref="I11:I12"/>
    <mergeCell ref="B4:D5"/>
    <mergeCell ref="B11:B12"/>
    <mergeCell ref="C11:C12"/>
    <mergeCell ref="F4:H5"/>
    <mergeCell ref="D11:D12"/>
    <mergeCell ref="J4:L5"/>
    <mergeCell ref="E11:E12"/>
    <mergeCell ref="H11:H12"/>
    <mergeCell ref="F11:F12"/>
    <mergeCell ref="G11:G12"/>
  </mergeCells>
  <dataValidations count="2">
    <dataValidation sqref="J13 J14 J15 J16 J17 J18 J19 J20 J21 J22 J23 J24 J25 J26 J27 K13 K14 K15 K16 K17 K18 K19 K20 K21 K22 K23 K24 K25 K26 K27 L13 L14 L15 L16 L17 L18 L19 L20 L21 L22 L23 L24 L25 L26 L27 M13 M14 M15 M16 M17 M18 M19 M20 M21 M22 M23 M24 M25 M26 M27 N13 N14 N15 N16 N17 N18 N19 N20 N21 N22 N23 N24 N25 N26 N27 O13 O14 O15 O16 O17 O18 O19 O20 O21 O22 O23 O24 O25 O26 O27 P13 P14 P15 P16 P17 P18 P19 P20 P21 P22 P23 P24 P25 P26 P27 Q13 Q14 Q15 Q16 Q17 Q18 Q19 Q20 Q21 Q22 Q23 Q24 Q25 Q26 Q27 R13 R14 R15 R16 R17 R18 R19 R20 R21 R22 R23 R24 R25 R26 R27 S13 S14 S15 S16 S17 S18 S19 S20 S21 S22 S23 S24 S25 S26 S27 T13 T14 T15 T16 T17 T18 T19 T20 T21 T22 T23 T24 T25 T26 T27 U13 U14 U15 U16 U17 U18 U19 U20 U21 U22 U23 U24 U25 U26 U27 V13 V14 V15 V16 V17 V18 V19 V20 V21 V22 V23 V24 V25 V26 V27 W13 W14 W15 W16 W17 W18 W19 W20 W21 W22 W23 W24 W25 W26 W27 X13 X14 X15 X16 X17 X18 X19 X20 X21 X22 X23 X24 X25 X26 X27 Y13 Y14 Y15 Y16 Y17 Y18 Y19 Y20 Y21 Y22 Y23 Y24 Y25 Y26 Y27 Z13 Z14 Z15 Z16 Z17 Z18 Z19 Z20 Z21 Z22 Z23 Z24 Z25 Z26 Z27 AA13 AA14 AA15 AA16 AA17 AA18 AA19 AA20 AA21 AA22 AA23 AA24 AA25 AA26 AA27 AB13 AB14 AB15 AB16 AB17 AB18 AB19 AB20 AB21 AB22 AB23 AB24 AB25 AB26 AB27 AC13 AC14 AC15 AC16 AC17 AC18 AC19 AC20 AC21 AC22 AC23 AC24 AC25 AC26 AC27 AD13 AD14 AD15 AD16 AD17 AD18 AD19 AD20 AD21 AD22 AD23 AD24 AD25 AD26 AD27 AE13 AE14 AE15 AE16 AE17 AE18 AE19 AE20 AE21 AE22 AE23 AE24 AE25 AE26 AE27 AF13 AF14 AF15 AF16 AF17 AF18 AF19 AF20 AF21 AF22 AF23 AF24 AF25 AF26 AF27 AG13 AG14 AG15 AG16 AG17 AG18 AG19 AG20 AG21 AG22 AG23 AG24 AG25 AG26 AG27 AH13 AH14 AH15 AH16 AH17 AH18 AH19 AH20 AH21 AH22 AH23 AH24 AH25 AH26 AH27 AI13 AI14 AI15 AI16 AI17 AI18 AI19 AI20 AI21 AI22 AI23 AI24 AI25 AI26 AI27 AJ13 AJ14 AJ15 AJ16 AJ17 AJ18 AJ19 AJ20 AJ21 AJ22 AJ23 AJ24 AJ25 AJ26 AJ27 AK13 AK14 AK15 AK16 AK17 AK18 AK19 AK20 AK21 AK22 AK23 AK24 AK25 AK26 AK27 AL13 AL14 AL15 AL16 AL17 AL18 AL19 AL20 AL21 AL22 AL23 AL24 AL25 AL26 AL27 AM13 AM14 AM15 AM16 AM17 AM18 AM19 AM20 AM21 AM22 AM23 AM24 AM25 AM26 AM27 AN13 AN14 AN15 AN16 AN17 AN18 AN19 AN20 AN21 AN22 AN23 AN24 AN25 AN26 AN27" showDropDown="0" showInputMessage="0" showErrorMessage="0" allowBlank="1" errorTitle="Invalid Entry" error="Your entry must be ✔ (Done) or — (Rest Day)" promptTitle="Log Habit" prompt="Select ✔ for Done, — for Rest, or Clear cell for Missed" type="list">
      <formula1>"✔,—"</formula1>
    </dataValidation>
    <dataValidation sqref="D13 D14 D15 D16 D17 D18 D19 D20 D21 D22 D23 D24 D25 D26 D27" showDropDown="0" showInputMessage="0" showErrorMessage="0" allowBlank="1" type="list">
      <formula1>"Daily,6x/week,5x/week,4x/week,3x/week,2x/week,1x/week"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1:AN27"/>
  <sheetViews>
    <sheetView showGridLines="0" workbookViewId="0">
      <selection activeCell="A1" sqref="A1"/>
    </sheetView>
  </sheetViews>
  <sheetFormatPr baseColWidth="8" defaultRowHeight="15"/>
  <sheetData>
    <row r="11">
      <c r="B11" s="39" t="inlineStr">
        <is>
          <t>Habit Name</t>
        </is>
      </c>
    </row>
    <row r="12">
      <c r="J12" s="54" t="n">
        <v>46235</v>
      </c>
      <c r="K12" s="54" t="n">
        <v>46236</v>
      </c>
      <c r="L12" s="54" t="n">
        <v>46237</v>
      </c>
      <c r="M12" s="54" t="n">
        <v>46238</v>
      </c>
      <c r="N12" s="54" t="n">
        <v>46239</v>
      </c>
      <c r="O12" s="54" t="n">
        <v>46240</v>
      </c>
      <c r="P12" s="54" t="n">
        <v>46241</v>
      </c>
      <c r="Q12" s="54" t="n">
        <v>46242</v>
      </c>
      <c r="R12" s="54" t="n">
        <v>46243</v>
      </c>
      <c r="S12" s="54" t="n">
        <v>46244</v>
      </c>
      <c r="T12" s="54" t="n">
        <v>46245</v>
      </c>
      <c r="U12" s="54" t="n">
        <v>46246</v>
      </c>
      <c r="V12" s="54" t="n">
        <v>46247</v>
      </c>
      <c r="W12" s="54" t="n">
        <v>46248</v>
      </c>
      <c r="X12" s="54" t="n">
        <v>46249</v>
      </c>
      <c r="Y12" s="54" t="n">
        <v>46250</v>
      </c>
      <c r="Z12" s="54" t="n">
        <v>46251</v>
      </c>
      <c r="AA12" s="54" t="n">
        <v>46252</v>
      </c>
      <c r="AB12" s="54" t="n">
        <v>46253</v>
      </c>
      <c r="AC12" s="54" t="n">
        <v>46254</v>
      </c>
      <c r="AD12" s="54" t="n">
        <v>46255</v>
      </c>
      <c r="AE12" s="54" t="n">
        <v>46256</v>
      </c>
      <c r="AF12" s="54" t="n">
        <v>46257</v>
      </c>
      <c r="AG12" s="54" t="n">
        <v>46258</v>
      </c>
      <c r="AH12" s="54" t="n">
        <v>46259</v>
      </c>
      <c r="AI12" s="54" t="n">
        <v>46260</v>
      </c>
      <c r="AJ12" s="54" t="n">
        <v>46261</v>
      </c>
      <c r="AK12" s="54" t="n">
        <v>46262</v>
      </c>
      <c r="AL12" s="54" t="n">
        <v>46263</v>
      </c>
      <c r="AM12" s="54" t="n">
        <v>46264</v>
      </c>
      <c r="AN12" s="54" t="n">
        <v>46265</v>
      </c>
    </row>
    <row r="13">
      <c r="J13">
        <f>IF('Habit Tracker'!J$12&gt;DATE(2026,8,18), "", IF('Habit Tracker'!J13="✔", 1, 0))</f>
        <v/>
      </c>
      <c r="K13">
        <f>IF('Habit Tracker'!K$12&gt;DATE(2026,8,18), "", IF('Habit Tracker'!K13="✔", IF(ISNUMBER(J13), J13+1, 1), IF('Habit Tracker'!K13="—", IF(ISNUMBER(J13), J13, 0), 0)))</f>
        <v/>
      </c>
      <c r="L13">
        <f>IF('Habit Tracker'!L$12&gt;DATE(2026,8,18), "", IF('Habit Tracker'!L13="✔", IF(ISNUMBER(K13), K13+1, 1), IF('Habit Tracker'!L13="—", IF(ISNUMBER(K13), K13, 0), 0)))</f>
        <v/>
      </c>
      <c r="M13">
        <f>IF('Habit Tracker'!M$12&gt;DATE(2026,8,18), "", IF('Habit Tracker'!M13="✔", IF(ISNUMBER(L13), L13+1, 1), IF('Habit Tracker'!M13="—", IF(ISNUMBER(L13), L13, 0), 0)))</f>
        <v/>
      </c>
      <c r="N13">
        <f>IF('Habit Tracker'!N$12&gt;DATE(2026,8,18), "", IF('Habit Tracker'!N13="✔", IF(ISNUMBER(M13), M13+1, 1), IF('Habit Tracker'!N13="—", IF(ISNUMBER(M13), M13, 0), 0)))</f>
        <v/>
      </c>
      <c r="O13">
        <f>IF('Habit Tracker'!O$12&gt;DATE(2026,8,18), "", IF('Habit Tracker'!O13="✔", IF(ISNUMBER(N13), N13+1, 1), IF('Habit Tracker'!O13="—", IF(ISNUMBER(N13), N13, 0), 0)))</f>
        <v/>
      </c>
      <c r="P13">
        <f>IF('Habit Tracker'!P$12&gt;DATE(2026,8,18), "", IF('Habit Tracker'!P13="✔", IF(ISNUMBER(O13), O13+1, 1), IF('Habit Tracker'!P13="—", IF(ISNUMBER(O13), O13, 0), 0)))</f>
        <v/>
      </c>
      <c r="Q13">
        <f>IF('Habit Tracker'!Q$12&gt;DATE(2026,8,18), "", IF('Habit Tracker'!Q13="✔", IF(ISNUMBER(P13), P13+1, 1), IF('Habit Tracker'!Q13="—", IF(ISNUMBER(P13), P13, 0), 0)))</f>
        <v/>
      </c>
      <c r="R13">
        <f>IF('Habit Tracker'!R$12&gt;DATE(2026,8,18), "", IF('Habit Tracker'!R13="✔", IF(ISNUMBER(Q13), Q13+1, 1), IF('Habit Tracker'!R13="—", IF(ISNUMBER(Q13), Q13, 0), 0)))</f>
        <v/>
      </c>
      <c r="S13">
        <f>IF('Habit Tracker'!S$12&gt;DATE(2026,8,18), "", IF('Habit Tracker'!S13="✔", IF(ISNUMBER(R13), R13+1, 1), IF('Habit Tracker'!S13="—", IF(ISNUMBER(R13), R13, 0), 0)))</f>
        <v/>
      </c>
      <c r="T13">
        <f>IF('Habit Tracker'!T$12&gt;DATE(2026,8,18), "", IF('Habit Tracker'!T13="✔", IF(ISNUMBER(S13), S13+1, 1), IF('Habit Tracker'!T13="—", IF(ISNUMBER(S13), S13, 0), 0)))</f>
        <v/>
      </c>
      <c r="U13">
        <f>IF('Habit Tracker'!U$12&gt;DATE(2026,8,18), "", IF('Habit Tracker'!U13="✔", IF(ISNUMBER(T13), T13+1, 1), IF('Habit Tracker'!U13="—", IF(ISNUMBER(T13), T13, 0), 0)))</f>
        <v/>
      </c>
      <c r="V13">
        <f>IF('Habit Tracker'!V$12&gt;DATE(2026,8,18), "", IF('Habit Tracker'!V13="✔", IF(ISNUMBER(U13), U13+1, 1), IF('Habit Tracker'!V13="—", IF(ISNUMBER(U13), U13, 0), 0)))</f>
        <v/>
      </c>
      <c r="W13">
        <f>IF('Habit Tracker'!W$12&gt;DATE(2026,8,18), "", IF('Habit Tracker'!W13="✔", IF(ISNUMBER(V13), V13+1, 1), IF('Habit Tracker'!W13="—", IF(ISNUMBER(V13), V13, 0), 0)))</f>
        <v/>
      </c>
      <c r="X13">
        <f>IF('Habit Tracker'!X$12&gt;DATE(2026,8,18), "", IF('Habit Tracker'!X13="✔", IF(ISNUMBER(W13), W13+1, 1), IF('Habit Tracker'!X13="—", IF(ISNUMBER(W13), W13, 0), 0)))</f>
        <v/>
      </c>
      <c r="Y13">
        <f>IF('Habit Tracker'!Y$12&gt;DATE(2026,8,18), "", IF('Habit Tracker'!Y13="✔", IF(ISNUMBER(X13), X13+1, 1), IF('Habit Tracker'!Y13="—", IF(ISNUMBER(X13), X13, 0), 0)))</f>
        <v/>
      </c>
      <c r="Z13">
        <f>IF('Habit Tracker'!Z$12&gt;DATE(2026,8,18), "", IF('Habit Tracker'!Z13="✔", IF(ISNUMBER(Y13), Y13+1, 1), IF('Habit Tracker'!Z13="—", IF(ISNUMBER(Y13), Y13, 0), 0)))</f>
        <v/>
      </c>
      <c r="AA13">
        <f>IF('Habit Tracker'!AA$12&gt;DATE(2026,8,18), "", IF('Habit Tracker'!AA13="✔", IF(ISNUMBER(Z13), Z13+1, 1), IF('Habit Tracker'!AA13="—", IF(ISNUMBER(Z13), Z13, 0), 0)))</f>
        <v/>
      </c>
      <c r="AB13">
        <f>IF('Habit Tracker'!AB$12&gt;DATE(2026,8,18), "", IF('Habit Tracker'!AB13="✔", IF(ISNUMBER(AA13), AA13+1, 1), IF('Habit Tracker'!AB13="—", IF(ISNUMBER(AA13), AA13, 0), 0)))</f>
        <v/>
      </c>
      <c r="AC13">
        <f>IF('Habit Tracker'!AC$12&gt;DATE(2026,8,18), "", IF('Habit Tracker'!AC13="✔", IF(ISNUMBER(AB13), AB13+1, 1), IF('Habit Tracker'!AC13="—", IF(ISNUMBER(AB13), AB13, 0), 0)))</f>
        <v/>
      </c>
      <c r="AD13">
        <f>IF('Habit Tracker'!AD$12&gt;DATE(2026,8,18), "", IF('Habit Tracker'!AD13="✔", IF(ISNUMBER(AC13), AC13+1, 1), IF('Habit Tracker'!AD13="—", IF(ISNUMBER(AC13), AC13, 0), 0)))</f>
        <v/>
      </c>
      <c r="AE13">
        <f>IF('Habit Tracker'!AE$12&gt;DATE(2026,8,18), "", IF('Habit Tracker'!AE13="✔", IF(ISNUMBER(AD13), AD13+1, 1), IF('Habit Tracker'!AE13="—", IF(ISNUMBER(AD13), AD13, 0), 0)))</f>
        <v/>
      </c>
      <c r="AF13">
        <f>IF('Habit Tracker'!AF$12&gt;DATE(2026,8,18), "", IF('Habit Tracker'!AF13="✔", IF(ISNUMBER(AE13), AE13+1, 1), IF('Habit Tracker'!AF13="—", IF(ISNUMBER(AE13), AE13, 0), 0)))</f>
        <v/>
      </c>
      <c r="AG13">
        <f>IF('Habit Tracker'!AG$12&gt;DATE(2026,8,18), "", IF('Habit Tracker'!AG13="✔", IF(ISNUMBER(AF13), AF13+1, 1), IF('Habit Tracker'!AG13="—", IF(ISNUMBER(AF13), AF13, 0), 0)))</f>
        <v/>
      </c>
      <c r="AH13">
        <f>IF('Habit Tracker'!AH$12&gt;DATE(2026,8,18), "", IF('Habit Tracker'!AH13="✔", IF(ISNUMBER(AG13), AG13+1, 1), IF('Habit Tracker'!AH13="—", IF(ISNUMBER(AG13), AG13, 0), 0)))</f>
        <v/>
      </c>
      <c r="AI13">
        <f>IF('Habit Tracker'!AI$12&gt;DATE(2026,8,18), "", IF('Habit Tracker'!AI13="✔", IF(ISNUMBER(AH13), AH13+1, 1), IF('Habit Tracker'!AI13="—", IF(ISNUMBER(AH13), AH13, 0), 0)))</f>
        <v/>
      </c>
      <c r="AJ13">
        <f>IF('Habit Tracker'!AJ$12&gt;DATE(2026,8,18), "", IF('Habit Tracker'!AJ13="✔", IF(ISNUMBER(AI13), AI13+1, 1), IF('Habit Tracker'!AJ13="—", IF(ISNUMBER(AI13), AI13, 0), 0)))</f>
        <v/>
      </c>
      <c r="AK13">
        <f>IF('Habit Tracker'!AK$12&gt;DATE(2026,8,18), "", IF('Habit Tracker'!AK13="✔", IF(ISNUMBER(AJ13), AJ13+1, 1), IF('Habit Tracker'!AK13="—", IF(ISNUMBER(AJ13), AJ13, 0), 0)))</f>
        <v/>
      </c>
      <c r="AL13">
        <f>IF('Habit Tracker'!AL$12&gt;DATE(2026,8,18), "", IF('Habit Tracker'!AL13="✔", IF(ISNUMBER(AK13), AK13+1, 1), IF('Habit Tracker'!AL13="—", IF(ISNUMBER(AK13), AK13, 0), 0)))</f>
        <v/>
      </c>
      <c r="AM13">
        <f>IF('Habit Tracker'!AM$12&gt;DATE(2026,8,18), "", IF('Habit Tracker'!AM13="✔", IF(ISNUMBER(AL13), AL13+1, 1), IF('Habit Tracker'!AM13="—", IF(ISNUMBER(AL13), AL13, 0), 0)))</f>
        <v/>
      </c>
      <c r="AN13">
        <f>IF('Habit Tracker'!AN$12&gt;DATE(2026,8,18), "", IF('Habit Tracker'!AN13="✔", IF(ISNUMBER(AM13), AM13+1, 1), IF('Habit Tracker'!AN13="—", IF(ISNUMBER(AM13), AM13, 0), 0)))</f>
        <v/>
      </c>
    </row>
    <row r="14">
      <c r="J14">
        <f>IF('Habit Tracker'!J$12&gt;DATE(2026,8,18), "", IF('Habit Tracker'!J14="✔", 1, 0))</f>
        <v/>
      </c>
      <c r="K14">
        <f>IF('Habit Tracker'!K$12&gt;DATE(2026,8,18), "", IF('Habit Tracker'!K14="✔", IF(ISNUMBER(J14), J14+1, 1), IF('Habit Tracker'!K14="—", IF(ISNUMBER(J14), J14, 0), 0)))</f>
        <v/>
      </c>
      <c r="L14">
        <f>IF('Habit Tracker'!L$12&gt;DATE(2026,8,18), "", IF('Habit Tracker'!L14="✔", IF(ISNUMBER(K14), K14+1, 1), IF('Habit Tracker'!L14="—", IF(ISNUMBER(K14), K14, 0), 0)))</f>
        <v/>
      </c>
      <c r="M14">
        <f>IF('Habit Tracker'!M$12&gt;DATE(2026,8,18), "", IF('Habit Tracker'!M14="✔", IF(ISNUMBER(L14), L14+1, 1), IF('Habit Tracker'!M14="—", IF(ISNUMBER(L14), L14, 0), 0)))</f>
        <v/>
      </c>
      <c r="N14">
        <f>IF('Habit Tracker'!N$12&gt;DATE(2026,8,18), "", IF('Habit Tracker'!N14="✔", IF(ISNUMBER(M14), M14+1, 1), IF('Habit Tracker'!N14="—", IF(ISNUMBER(M14), M14, 0), 0)))</f>
        <v/>
      </c>
      <c r="O14">
        <f>IF('Habit Tracker'!O$12&gt;DATE(2026,8,18), "", IF('Habit Tracker'!O14="✔", IF(ISNUMBER(N14), N14+1, 1), IF('Habit Tracker'!O14="—", IF(ISNUMBER(N14), N14, 0), 0)))</f>
        <v/>
      </c>
      <c r="P14">
        <f>IF('Habit Tracker'!P$12&gt;DATE(2026,8,18), "", IF('Habit Tracker'!P14="✔", IF(ISNUMBER(O14), O14+1, 1), IF('Habit Tracker'!P14="—", IF(ISNUMBER(O14), O14, 0), 0)))</f>
        <v/>
      </c>
      <c r="Q14">
        <f>IF('Habit Tracker'!Q$12&gt;DATE(2026,8,18), "", IF('Habit Tracker'!Q14="✔", IF(ISNUMBER(P14), P14+1, 1), IF('Habit Tracker'!Q14="—", IF(ISNUMBER(P14), P14, 0), 0)))</f>
        <v/>
      </c>
      <c r="R14">
        <f>IF('Habit Tracker'!R$12&gt;DATE(2026,8,18), "", IF('Habit Tracker'!R14="✔", IF(ISNUMBER(Q14), Q14+1, 1), IF('Habit Tracker'!R14="—", IF(ISNUMBER(Q14), Q14, 0), 0)))</f>
        <v/>
      </c>
      <c r="S14">
        <f>IF('Habit Tracker'!S$12&gt;DATE(2026,8,18), "", IF('Habit Tracker'!S14="✔", IF(ISNUMBER(R14), R14+1, 1), IF('Habit Tracker'!S14="—", IF(ISNUMBER(R14), R14, 0), 0)))</f>
        <v/>
      </c>
      <c r="T14">
        <f>IF('Habit Tracker'!T$12&gt;DATE(2026,8,18), "", IF('Habit Tracker'!T14="✔", IF(ISNUMBER(S14), S14+1, 1), IF('Habit Tracker'!T14="—", IF(ISNUMBER(S14), S14, 0), 0)))</f>
        <v/>
      </c>
      <c r="U14">
        <f>IF('Habit Tracker'!U$12&gt;DATE(2026,8,18), "", IF('Habit Tracker'!U14="✔", IF(ISNUMBER(T14), T14+1, 1), IF('Habit Tracker'!U14="—", IF(ISNUMBER(T14), T14, 0), 0)))</f>
        <v/>
      </c>
      <c r="V14">
        <f>IF('Habit Tracker'!V$12&gt;DATE(2026,8,18), "", IF('Habit Tracker'!V14="✔", IF(ISNUMBER(U14), U14+1, 1), IF('Habit Tracker'!V14="—", IF(ISNUMBER(U14), U14, 0), 0)))</f>
        <v/>
      </c>
      <c r="W14">
        <f>IF('Habit Tracker'!W$12&gt;DATE(2026,8,18), "", IF('Habit Tracker'!W14="✔", IF(ISNUMBER(V14), V14+1, 1), IF('Habit Tracker'!W14="—", IF(ISNUMBER(V14), V14, 0), 0)))</f>
        <v/>
      </c>
      <c r="X14">
        <f>IF('Habit Tracker'!X$12&gt;DATE(2026,8,18), "", IF('Habit Tracker'!X14="✔", IF(ISNUMBER(W14), W14+1, 1), IF('Habit Tracker'!X14="—", IF(ISNUMBER(W14), W14, 0), 0)))</f>
        <v/>
      </c>
      <c r="Y14">
        <f>IF('Habit Tracker'!Y$12&gt;DATE(2026,8,18), "", IF('Habit Tracker'!Y14="✔", IF(ISNUMBER(X14), X14+1, 1), IF('Habit Tracker'!Y14="—", IF(ISNUMBER(X14), X14, 0), 0)))</f>
        <v/>
      </c>
      <c r="Z14">
        <f>IF('Habit Tracker'!Z$12&gt;DATE(2026,8,18), "", IF('Habit Tracker'!Z14="✔", IF(ISNUMBER(Y14), Y14+1, 1), IF('Habit Tracker'!Z14="—", IF(ISNUMBER(Y14), Y14, 0), 0)))</f>
        <v/>
      </c>
      <c r="AA14">
        <f>IF('Habit Tracker'!AA$12&gt;DATE(2026,8,18), "", IF('Habit Tracker'!AA14="✔", IF(ISNUMBER(Z14), Z14+1, 1), IF('Habit Tracker'!AA14="—", IF(ISNUMBER(Z14), Z14, 0), 0)))</f>
        <v/>
      </c>
      <c r="AB14">
        <f>IF('Habit Tracker'!AB$12&gt;DATE(2026,8,18), "", IF('Habit Tracker'!AB14="✔", IF(ISNUMBER(AA14), AA14+1, 1), IF('Habit Tracker'!AB14="—", IF(ISNUMBER(AA14), AA14, 0), 0)))</f>
        <v/>
      </c>
      <c r="AC14">
        <f>IF('Habit Tracker'!AC$12&gt;DATE(2026,8,18), "", IF('Habit Tracker'!AC14="✔", IF(ISNUMBER(AB14), AB14+1, 1), IF('Habit Tracker'!AC14="—", IF(ISNUMBER(AB14), AB14, 0), 0)))</f>
        <v/>
      </c>
      <c r="AD14">
        <f>IF('Habit Tracker'!AD$12&gt;DATE(2026,8,18), "", IF('Habit Tracker'!AD14="✔", IF(ISNUMBER(AC14), AC14+1, 1), IF('Habit Tracker'!AD14="—", IF(ISNUMBER(AC14), AC14, 0), 0)))</f>
        <v/>
      </c>
      <c r="AE14">
        <f>IF('Habit Tracker'!AE$12&gt;DATE(2026,8,18), "", IF('Habit Tracker'!AE14="✔", IF(ISNUMBER(AD14), AD14+1, 1), IF('Habit Tracker'!AE14="—", IF(ISNUMBER(AD14), AD14, 0), 0)))</f>
        <v/>
      </c>
      <c r="AF14">
        <f>IF('Habit Tracker'!AF$12&gt;DATE(2026,8,18), "", IF('Habit Tracker'!AF14="✔", IF(ISNUMBER(AE14), AE14+1, 1), IF('Habit Tracker'!AF14="—", IF(ISNUMBER(AE14), AE14, 0), 0)))</f>
        <v/>
      </c>
      <c r="AG14">
        <f>IF('Habit Tracker'!AG$12&gt;DATE(2026,8,18), "", IF('Habit Tracker'!AG14="✔", IF(ISNUMBER(AF14), AF14+1, 1), IF('Habit Tracker'!AG14="—", IF(ISNUMBER(AF14), AF14, 0), 0)))</f>
        <v/>
      </c>
      <c r="AH14">
        <f>IF('Habit Tracker'!AH$12&gt;DATE(2026,8,18), "", IF('Habit Tracker'!AH14="✔", IF(ISNUMBER(AG14), AG14+1, 1), IF('Habit Tracker'!AH14="—", IF(ISNUMBER(AG14), AG14, 0), 0)))</f>
        <v/>
      </c>
      <c r="AI14">
        <f>IF('Habit Tracker'!AI$12&gt;DATE(2026,8,18), "", IF('Habit Tracker'!AI14="✔", IF(ISNUMBER(AH14), AH14+1, 1), IF('Habit Tracker'!AI14="—", IF(ISNUMBER(AH14), AH14, 0), 0)))</f>
        <v/>
      </c>
      <c r="AJ14">
        <f>IF('Habit Tracker'!AJ$12&gt;DATE(2026,8,18), "", IF('Habit Tracker'!AJ14="✔", IF(ISNUMBER(AI14), AI14+1, 1), IF('Habit Tracker'!AJ14="—", IF(ISNUMBER(AI14), AI14, 0), 0)))</f>
        <v/>
      </c>
      <c r="AK14">
        <f>IF('Habit Tracker'!AK$12&gt;DATE(2026,8,18), "", IF('Habit Tracker'!AK14="✔", IF(ISNUMBER(AJ14), AJ14+1, 1), IF('Habit Tracker'!AK14="—", IF(ISNUMBER(AJ14), AJ14, 0), 0)))</f>
        <v/>
      </c>
      <c r="AL14">
        <f>IF('Habit Tracker'!AL$12&gt;DATE(2026,8,18), "", IF('Habit Tracker'!AL14="✔", IF(ISNUMBER(AK14), AK14+1, 1), IF('Habit Tracker'!AL14="—", IF(ISNUMBER(AK14), AK14, 0), 0)))</f>
        <v/>
      </c>
      <c r="AM14">
        <f>IF('Habit Tracker'!AM$12&gt;DATE(2026,8,18), "", IF('Habit Tracker'!AM14="✔", IF(ISNUMBER(AL14), AL14+1, 1), IF('Habit Tracker'!AM14="—", IF(ISNUMBER(AL14), AL14, 0), 0)))</f>
        <v/>
      </c>
      <c r="AN14">
        <f>IF('Habit Tracker'!AN$12&gt;DATE(2026,8,18), "", IF('Habit Tracker'!AN14="✔", IF(ISNUMBER(AM14), AM14+1, 1), IF('Habit Tracker'!AN14="—", IF(ISNUMBER(AM14), AM14, 0), 0)))</f>
        <v/>
      </c>
    </row>
    <row r="15">
      <c r="J15">
        <f>IF('Habit Tracker'!J$12&gt;DATE(2026,8,18), "", IF('Habit Tracker'!J15="✔", 1, 0))</f>
        <v/>
      </c>
      <c r="K15">
        <f>IF('Habit Tracker'!K$12&gt;DATE(2026,8,18), "", IF('Habit Tracker'!K15="✔", IF(ISNUMBER(J15), J15+1, 1), IF('Habit Tracker'!K15="—", IF(ISNUMBER(J15), J15, 0), 0)))</f>
        <v/>
      </c>
      <c r="L15">
        <f>IF('Habit Tracker'!L$12&gt;DATE(2026,8,18), "", IF('Habit Tracker'!L15="✔", IF(ISNUMBER(K15), K15+1, 1), IF('Habit Tracker'!L15="—", IF(ISNUMBER(K15), K15, 0), 0)))</f>
        <v/>
      </c>
      <c r="M15">
        <f>IF('Habit Tracker'!M$12&gt;DATE(2026,8,18), "", IF('Habit Tracker'!M15="✔", IF(ISNUMBER(L15), L15+1, 1), IF('Habit Tracker'!M15="—", IF(ISNUMBER(L15), L15, 0), 0)))</f>
        <v/>
      </c>
      <c r="N15">
        <f>IF('Habit Tracker'!N$12&gt;DATE(2026,8,18), "", IF('Habit Tracker'!N15="✔", IF(ISNUMBER(M15), M15+1, 1), IF('Habit Tracker'!N15="—", IF(ISNUMBER(M15), M15, 0), 0)))</f>
        <v/>
      </c>
      <c r="O15">
        <f>IF('Habit Tracker'!O$12&gt;DATE(2026,8,18), "", IF('Habit Tracker'!O15="✔", IF(ISNUMBER(N15), N15+1, 1), IF('Habit Tracker'!O15="—", IF(ISNUMBER(N15), N15, 0), 0)))</f>
        <v/>
      </c>
      <c r="P15">
        <f>IF('Habit Tracker'!P$12&gt;DATE(2026,8,18), "", IF('Habit Tracker'!P15="✔", IF(ISNUMBER(O15), O15+1, 1), IF('Habit Tracker'!P15="—", IF(ISNUMBER(O15), O15, 0), 0)))</f>
        <v/>
      </c>
      <c r="Q15">
        <f>IF('Habit Tracker'!Q$12&gt;DATE(2026,8,18), "", IF('Habit Tracker'!Q15="✔", IF(ISNUMBER(P15), P15+1, 1), IF('Habit Tracker'!Q15="—", IF(ISNUMBER(P15), P15, 0), 0)))</f>
        <v/>
      </c>
      <c r="R15">
        <f>IF('Habit Tracker'!R$12&gt;DATE(2026,8,18), "", IF('Habit Tracker'!R15="✔", IF(ISNUMBER(Q15), Q15+1, 1), IF('Habit Tracker'!R15="—", IF(ISNUMBER(Q15), Q15, 0), 0)))</f>
        <v/>
      </c>
      <c r="S15">
        <f>IF('Habit Tracker'!S$12&gt;DATE(2026,8,18), "", IF('Habit Tracker'!S15="✔", IF(ISNUMBER(R15), R15+1, 1), IF('Habit Tracker'!S15="—", IF(ISNUMBER(R15), R15, 0), 0)))</f>
        <v/>
      </c>
      <c r="T15">
        <f>IF('Habit Tracker'!T$12&gt;DATE(2026,8,18), "", IF('Habit Tracker'!T15="✔", IF(ISNUMBER(S15), S15+1, 1), IF('Habit Tracker'!T15="—", IF(ISNUMBER(S15), S15, 0), 0)))</f>
        <v/>
      </c>
      <c r="U15">
        <f>IF('Habit Tracker'!U$12&gt;DATE(2026,8,18), "", IF('Habit Tracker'!U15="✔", IF(ISNUMBER(T15), T15+1, 1), IF('Habit Tracker'!U15="—", IF(ISNUMBER(T15), T15, 0), 0)))</f>
        <v/>
      </c>
      <c r="V15">
        <f>IF('Habit Tracker'!V$12&gt;DATE(2026,8,18), "", IF('Habit Tracker'!V15="✔", IF(ISNUMBER(U15), U15+1, 1), IF('Habit Tracker'!V15="—", IF(ISNUMBER(U15), U15, 0), 0)))</f>
        <v/>
      </c>
      <c r="W15">
        <f>IF('Habit Tracker'!W$12&gt;DATE(2026,8,18), "", IF('Habit Tracker'!W15="✔", IF(ISNUMBER(V15), V15+1, 1), IF('Habit Tracker'!W15="—", IF(ISNUMBER(V15), V15, 0), 0)))</f>
        <v/>
      </c>
      <c r="X15">
        <f>IF('Habit Tracker'!X$12&gt;DATE(2026,8,18), "", IF('Habit Tracker'!X15="✔", IF(ISNUMBER(W15), W15+1, 1), IF('Habit Tracker'!X15="—", IF(ISNUMBER(W15), W15, 0), 0)))</f>
        <v/>
      </c>
      <c r="Y15">
        <f>IF('Habit Tracker'!Y$12&gt;DATE(2026,8,18), "", IF('Habit Tracker'!Y15="✔", IF(ISNUMBER(X15), X15+1, 1), IF('Habit Tracker'!Y15="—", IF(ISNUMBER(X15), X15, 0), 0)))</f>
        <v/>
      </c>
      <c r="Z15">
        <f>IF('Habit Tracker'!Z$12&gt;DATE(2026,8,18), "", IF('Habit Tracker'!Z15="✔", IF(ISNUMBER(Y15), Y15+1, 1), IF('Habit Tracker'!Z15="—", IF(ISNUMBER(Y15), Y15, 0), 0)))</f>
        <v/>
      </c>
      <c r="AA15">
        <f>IF('Habit Tracker'!AA$12&gt;DATE(2026,8,18), "", IF('Habit Tracker'!AA15="✔", IF(ISNUMBER(Z15), Z15+1, 1), IF('Habit Tracker'!AA15="—", IF(ISNUMBER(Z15), Z15, 0), 0)))</f>
        <v/>
      </c>
      <c r="AB15">
        <f>IF('Habit Tracker'!AB$12&gt;DATE(2026,8,18), "", IF('Habit Tracker'!AB15="✔", IF(ISNUMBER(AA15), AA15+1, 1), IF('Habit Tracker'!AB15="—", IF(ISNUMBER(AA15), AA15, 0), 0)))</f>
        <v/>
      </c>
      <c r="AC15">
        <f>IF('Habit Tracker'!AC$12&gt;DATE(2026,8,18), "", IF('Habit Tracker'!AC15="✔", IF(ISNUMBER(AB15), AB15+1, 1), IF('Habit Tracker'!AC15="—", IF(ISNUMBER(AB15), AB15, 0), 0)))</f>
        <v/>
      </c>
      <c r="AD15">
        <f>IF('Habit Tracker'!AD$12&gt;DATE(2026,8,18), "", IF('Habit Tracker'!AD15="✔", IF(ISNUMBER(AC15), AC15+1, 1), IF('Habit Tracker'!AD15="—", IF(ISNUMBER(AC15), AC15, 0), 0)))</f>
        <v/>
      </c>
      <c r="AE15">
        <f>IF('Habit Tracker'!AE$12&gt;DATE(2026,8,18), "", IF('Habit Tracker'!AE15="✔", IF(ISNUMBER(AD15), AD15+1, 1), IF('Habit Tracker'!AE15="—", IF(ISNUMBER(AD15), AD15, 0), 0)))</f>
        <v/>
      </c>
      <c r="AF15">
        <f>IF('Habit Tracker'!AF$12&gt;DATE(2026,8,18), "", IF('Habit Tracker'!AF15="✔", IF(ISNUMBER(AE15), AE15+1, 1), IF('Habit Tracker'!AF15="—", IF(ISNUMBER(AE15), AE15, 0), 0)))</f>
        <v/>
      </c>
      <c r="AG15">
        <f>IF('Habit Tracker'!AG$12&gt;DATE(2026,8,18), "", IF('Habit Tracker'!AG15="✔", IF(ISNUMBER(AF15), AF15+1, 1), IF('Habit Tracker'!AG15="—", IF(ISNUMBER(AF15), AF15, 0), 0)))</f>
        <v/>
      </c>
      <c r="AH15">
        <f>IF('Habit Tracker'!AH$12&gt;DATE(2026,8,18), "", IF('Habit Tracker'!AH15="✔", IF(ISNUMBER(AG15), AG15+1, 1), IF('Habit Tracker'!AH15="—", IF(ISNUMBER(AG15), AG15, 0), 0)))</f>
        <v/>
      </c>
      <c r="AI15">
        <f>IF('Habit Tracker'!AI$12&gt;DATE(2026,8,18), "", IF('Habit Tracker'!AI15="✔", IF(ISNUMBER(AH15), AH15+1, 1), IF('Habit Tracker'!AI15="—", IF(ISNUMBER(AH15), AH15, 0), 0)))</f>
        <v/>
      </c>
      <c r="AJ15">
        <f>IF('Habit Tracker'!AJ$12&gt;DATE(2026,8,18), "", IF('Habit Tracker'!AJ15="✔", IF(ISNUMBER(AI15), AI15+1, 1), IF('Habit Tracker'!AJ15="—", IF(ISNUMBER(AI15), AI15, 0), 0)))</f>
        <v/>
      </c>
      <c r="AK15">
        <f>IF('Habit Tracker'!AK$12&gt;DATE(2026,8,18), "", IF('Habit Tracker'!AK15="✔", IF(ISNUMBER(AJ15), AJ15+1, 1), IF('Habit Tracker'!AK15="—", IF(ISNUMBER(AJ15), AJ15, 0), 0)))</f>
        <v/>
      </c>
      <c r="AL15">
        <f>IF('Habit Tracker'!AL$12&gt;DATE(2026,8,18), "", IF('Habit Tracker'!AL15="✔", IF(ISNUMBER(AK15), AK15+1, 1), IF('Habit Tracker'!AL15="—", IF(ISNUMBER(AK15), AK15, 0), 0)))</f>
        <v/>
      </c>
      <c r="AM15">
        <f>IF('Habit Tracker'!AM$12&gt;DATE(2026,8,18), "", IF('Habit Tracker'!AM15="✔", IF(ISNUMBER(AL15), AL15+1, 1), IF('Habit Tracker'!AM15="—", IF(ISNUMBER(AL15), AL15, 0), 0)))</f>
        <v/>
      </c>
      <c r="AN15">
        <f>IF('Habit Tracker'!AN$12&gt;DATE(2026,8,18), "", IF('Habit Tracker'!AN15="✔", IF(ISNUMBER(AM15), AM15+1, 1), IF('Habit Tracker'!AN15="—", IF(ISNUMBER(AM15), AM15, 0), 0)))</f>
        <v/>
      </c>
    </row>
    <row r="16">
      <c r="J16">
        <f>IF('Habit Tracker'!J$12&gt;DATE(2026,8,18), "", IF('Habit Tracker'!J16="✔", 1, 0))</f>
        <v/>
      </c>
      <c r="K16">
        <f>IF('Habit Tracker'!K$12&gt;DATE(2026,8,18), "", IF('Habit Tracker'!K16="✔", IF(ISNUMBER(J16), J16+1, 1), IF('Habit Tracker'!K16="—", IF(ISNUMBER(J16), J16, 0), 0)))</f>
        <v/>
      </c>
      <c r="L16">
        <f>IF('Habit Tracker'!L$12&gt;DATE(2026,8,18), "", IF('Habit Tracker'!L16="✔", IF(ISNUMBER(K16), K16+1, 1), IF('Habit Tracker'!L16="—", IF(ISNUMBER(K16), K16, 0), 0)))</f>
        <v/>
      </c>
      <c r="M16">
        <f>IF('Habit Tracker'!M$12&gt;DATE(2026,8,18), "", IF('Habit Tracker'!M16="✔", IF(ISNUMBER(L16), L16+1, 1), IF('Habit Tracker'!M16="—", IF(ISNUMBER(L16), L16, 0), 0)))</f>
        <v/>
      </c>
      <c r="N16">
        <f>IF('Habit Tracker'!N$12&gt;DATE(2026,8,18), "", IF('Habit Tracker'!N16="✔", IF(ISNUMBER(M16), M16+1, 1), IF('Habit Tracker'!N16="—", IF(ISNUMBER(M16), M16, 0), 0)))</f>
        <v/>
      </c>
      <c r="O16">
        <f>IF('Habit Tracker'!O$12&gt;DATE(2026,8,18), "", IF('Habit Tracker'!O16="✔", IF(ISNUMBER(N16), N16+1, 1), IF('Habit Tracker'!O16="—", IF(ISNUMBER(N16), N16, 0), 0)))</f>
        <v/>
      </c>
      <c r="P16">
        <f>IF('Habit Tracker'!P$12&gt;DATE(2026,8,18), "", IF('Habit Tracker'!P16="✔", IF(ISNUMBER(O16), O16+1, 1), IF('Habit Tracker'!P16="—", IF(ISNUMBER(O16), O16, 0), 0)))</f>
        <v/>
      </c>
      <c r="Q16">
        <f>IF('Habit Tracker'!Q$12&gt;DATE(2026,8,18), "", IF('Habit Tracker'!Q16="✔", IF(ISNUMBER(P16), P16+1, 1), IF('Habit Tracker'!Q16="—", IF(ISNUMBER(P16), P16, 0), 0)))</f>
        <v/>
      </c>
      <c r="R16">
        <f>IF('Habit Tracker'!R$12&gt;DATE(2026,8,18), "", IF('Habit Tracker'!R16="✔", IF(ISNUMBER(Q16), Q16+1, 1), IF('Habit Tracker'!R16="—", IF(ISNUMBER(Q16), Q16, 0), 0)))</f>
        <v/>
      </c>
      <c r="S16">
        <f>IF('Habit Tracker'!S$12&gt;DATE(2026,8,18), "", IF('Habit Tracker'!S16="✔", IF(ISNUMBER(R16), R16+1, 1), IF('Habit Tracker'!S16="—", IF(ISNUMBER(R16), R16, 0), 0)))</f>
        <v/>
      </c>
      <c r="T16">
        <f>IF('Habit Tracker'!T$12&gt;DATE(2026,8,18), "", IF('Habit Tracker'!T16="✔", IF(ISNUMBER(S16), S16+1, 1), IF('Habit Tracker'!T16="—", IF(ISNUMBER(S16), S16, 0), 0)))</f>
        <v/>
      </c>
      <c r="U16">
        <f>IF('Habit Tracker'!U$12&gt;DATE(2026,8,18), "", IF('Habit Tracker'!U16="✔", IF(ISNUMBER(T16), T16+1, 1), IF('Habit Tracker'!U16="—", IF(ISNUMBER(T16), T16, 0), 0)))</f>
        <v/>
      </c>
      <c r="V16">
        <f>IF('Habit Tracker'!V$12&gt;DATE(2026,8,18), "", IF('Habit Tracker'!V16="✔", IF(ISNUMBER(U16), U16+1, 1), IF('Habit Tracker'!V16="—", IF(ISNUMBER(U16), U16, 0), 0)))</f>
        <v/>
      </c>
      <c r="W16">
        <f>IF('Habit Tracker'!W$12&gt;DATE(2026,8,18), "", IF('Habit Tracker'!W16="✔", IF(ISNUMBER(V16), V16+1, 1), IF('Habit Tracker'!W16="—", IF(ISNUMBER(V16), V16, 0), 0)))</f>
        <v/>
      </c>
      <c r="X16">
        <f>IF('Habit Tracker'!X$12&gt;DATE(2026,8,18), "", IF('Habit Tracker'!X16="✔", IF(ISNUMBER(W16), W16+1, 1), IF('Habit Tracker'!X16="—", IF(ISNUMBER(W16), W16, 0), 0)))</f>
        <v/>
      </c>
      <c r="Y16">
        <f>IF('Habit Tracker'!Y$12&gt;DATE(2026,8,18), "", IF('Habit Tracker'!Y16="✔", IF(ISNUMBER(X16), X16+1, 1), IF('Habit Tracker'!Y16="—", IF(ISNUMBER(X16), X16, 0), 0)))</f>
        <v/>
      </c>
      <c r="Z16">
        <f>IF('Habit Tracker'!Z$12&gt;DATE(2026,8,18), "", IF('Habit Tracker'!Z16="✔", IF(ISNUMBER(Y16), Y16+1, 1), IF('Habit Tracker'!Z16="—", IF(ISNUMBER(Y16), Y16, 0), 0)))</f>
        <v/>
      </c>
      <c r="AA16">
        <f>IF('Habit Tracker'!AA$12&gt;DATE(2026,8,18), "", IF('Habit Tracker'!AA16="✔", IF(ISNUMBER(Z16), Z16+1, 1), IF('Habit Tracker'!AA16="—", IF(ISNUMBER(Z16), Z16, 0), 0)))</f>
        <v/>
      </c>
      <c r="AB16">
        <f>IF('Habit Tracker'!AB$12&gt;DATE(2026,8,18), "", IF('Habit Tracker'!AB16="✔", IF(ISNUMBER(AA16), AA16+1, 1), IF('Habit Tracker'!AB16="—", IF(ISNUMBER(AA16), AA16, 0), 0)))</f>
        <v/>
      </c>
      <c r="AC16">
        <f>IF('Habit Tracker'!AC$12&gt;DATE(2026,8,18), "", IF('Habit Tracker'!AC16="✔", IF(ISNUMBER(AB16), AB16+1, 1), IF('Habit Tracker'!AC16="—", IF(ISNUMBER(AB16), AB16, 0), 0)))</f>
        <v/>
      </c>
      <c r="AD16">
        <f>IF('Habit Tracker'!AD$12&gt;DATE(2026,8,18), "", IF('Habit Tracker'!AD16="✔", IF(ISNUMBER(AC16), AC16+1, 1), IF('Habit Tracker'!AD16="—", IF(ISNUMBER(AC16), AC16, 0), 0)))</f>
        <v/>
      </c>
      <c r="AE16">
        <f>IF('Habit Tracker'!AE$12&gt;DATE(2026,8,18), "", IF('Habit Tracker'!AE16="✔", IF(ISNUMBER(AD16), AD16+1, 1), IF('Habit Tracker'!AE16="—", IF(ISNUMBER(AD16), AD16, 0), 0)))</f>
        <v/>
      </c>
      <c r="AF16">
        <f>IF('Habit Tracker'!AF$12&gt;DATE(2026,8,18), "", IF('Habit Tracker'!AF16="✔", IF(ISNUMBER(AE16), AE16+1, 1), IF('Habit Tracker'!AF16="—", IF(ISNUMBER(AE16), AE16, 0), 0)))</f>
        <v/>
      </c>
      <c r="AG16">
        <f>IF('Habit Tracker'!AG$12&gt;DATE(2026,8,18), "", IF('Habit Tracker'!AG16="✔", IF(ISNUMBER(AF16), AF16+1, 1), IF('Habit Tracker'!AG16="—", IF(ISNUMBER(AF16), AF16, 0), 0)))</f>
        <v/>
      </c>
      <c r="AH16">
        <f>IF('Habit Tracker'!AH$12&gt;DATE(2026,8,18), "", IF('Habit Tracker'!AH16="✔", IF(ISNUMBER(AG16), AG16+1, 1), IF('Habit Tracker'!AH16="—", IF(ISNUMBER(AG16), AG16, 0), 0)))</f>
        <v/>
      </c>
      <c r="AI16">
        <f>IF('Habit Tracker'!AI$12&gt;DATE(2026,8,18), "", IF('Habit Tracker'!AI16="✔", IF(ISNUMBER(AH16), AH16+1, 1), IF('Habit Tracker'!AI16="—", IF(ISNUMBER(AH16), AH16, 0), 0)))</f>
        <v/>
      </c>
      <c r="AJ16">
        <f>IF('Habit Tracker'!AJ$12&gt;DATE(2026,8,18), "", IF('Habit Tracker'!AJ16="✔", IF(ISNUMBER(AI16), AI16+1, 1), IF('Habit Tracker'!AJ16="—", IF(ISNUMBER(AI16), AI16, 0), 0)))</f>
        <v/>
      </c>
      <c r="AK16">
        <f>IF('Habit Tracker'!AK$12&gt;DATE(2026,8,18), "", IF('Habit Tracker'!AK16="✔", IF(ISNUMBER(AJ16), AJ16+1, 1), IF('Habit Tracker'!AK16="—", IF(ISNUMBER(AJ16), AJ16, 0), 0)))</f>
        <v/>
      </c>
      <c r="AL16">
        <f>IF('Habit Tracker'!AL$12&gt;DATE(2026,8,18), "", IF('Habit Tracker'!AL16="✔", IF(ISNUMBER(AK16), AK16+1, 1), IF('Habit Tracker'!AL16="—", IF(ISNUMBER(AK16), AK16, 0), 0)))</f>
        <v/>
      </c>
      <c r="AM16">
        <f>IF('Habit Tracker'!AM$12&gt;DATE(2026,8,18), "", IF('Habit Tracker'!AM16="✔", IF(ISNUMBER(AL16), AL16+1, 1), IF('Habit Tracker'!AM16="—", IF(ISNUMBER(AL16), AL16, 0), 0)))</f>
        <v/>
      </c>
      <c r="AN16">
        <f>IF('Habit Tracker'!AN$12&gt;DATE(2026,8,18), "", IF('Habit Tracker'!AN16="✔", IF(ISNUMBER(AM16), AM16+1, 1), IF('Habit Tracker'!AN16="—", IF(ISNUMBER(AM16), AM16, 0), 0)))</f>
        <v/>
      </c>
    </row>
    <row r="17">
      <c r="J17">
        <f>IF('Habit Tracker'!J$12&gt;DATE(2026,8,18), "", IF('Habit Tracker'!J17="✔", 1, 0))</f>
        <v/>
      </c>
      <c r="K17">
        <f>IF('Habit Tracker'!K$12&gt;DATE(2026,8,18), "", IF('Habit Tracker'!K17="✔", IF(ISNUMBER(J17), J17+1, 1), IF('Habit Tracker'!K17="—", IF(ISNUMBER(J17), J17, 0), 0)))</f>
        <v/>
      </c>
      <c r="L17">
        <f>IF('Habit Tracker'!L$12&gt;DATE(2026,8,18), "", IF('Habit Tracker'!L17="✔", IF(ISNUMBER(K17), K17+1, 1), IF('Habit Tracker'!L17="—", IF(ISNUMBER(K17), K17, 0), 0)))</f>
        <v/>
      </c>
      <c r="M17">
        <f>IF('Habit Tracker'!M$12&gt;DATE(2026,8,18), "", IF('Habit Tracker'!M17="✔", IF(ISNUMBER(L17), L17+1, 1), IF('Habit Tracker'!M17="—", IF(ISNUMBER(L17), L17, 0), 0)))</f>
        <v/>
      </c>
      <c r="N17">
        <f>IF('Habit Tracker'!N$12&gt;DATE(2026,8,18), "", IF('Habit Tracker'!N17="✔", IF(ISNUMBER(M17), M17+1, 1), IF('Habit Tracker'!N17="—", IF(ISNUMBER(M17), M17, 0), 0)))</f>
        <v/>
      </c>
      <c r="O17">
        <f>IF('Habit Tracker'!O$12&gt;DATE(2026,8,18), "", IF('Habit Tracker'!O17="✔", IF(ISNUMBER(N17), N17+1, 1), IF('Habit Tracker'!O17="—", IF(ISNUMBER(N17), N17, 0), 0)))</f>
        <v/>
      </c>
      <c r="P17">
        <f>IF('Habit Tracker'!P$12&gt;DATE(2026,8,18), "", IF('Habit Tracker'!P17="✔", IF(ISNUMBER(O17), O17+1, 1), IF('Habit Tracker'!P17="—", IF(ISNUMBER(O17), O17, 0), 0)))</f>
        <v/>
      </c>
      <c r="Q17">
        <f>IF('Habit Tracker'!Q$12&gt;DATE(2026,8,18), "", IF('Habit Tracker'!Q17="✔", IF(ISNUMBER(P17), P17+1, 1), IF('Habit Tracker'!Q17="—", IF(ISNUMBER(P17), P17, 0), 0)))</f>
        <v/>
      </c>
      <c r="R17">
        <f>IF('Habit Tracker'!R$12&gt;DATE(2026,8,18), "", IF('Habit Tracker'!R17="✔", IF(ISNUMBER(Q17), Q17+1, 1), IF('Habit Tracker'!R17="—", IF(ISNUMBER(Q17), Q17, 0), 0)))</f>
        <v/>
      </c>
      <c r="S17">
        <f>IF('Habit Tracker'!S$12&gt;DATE(2026,8,18), "", IF('Habit Tracker'!S17="✔", IF(ISNUMBER(R17), R17+1, 1), IF('Habit Tracker'!S17="—", IF(ISNUMBER(R17), R17, 0), 0)))</f>
        <v/>
      </c>
      <c r="T17">
        <f>IF('Habit Tracker'!T$12&gt;DATE(2026,8,18), "", IF('Habit Tracker'!T17="✔", IF(ISNUMBER(S17), S17+1, 1), IF('Habit Tracker'!T17="—", IF(ISNUMBER(S17), S17, 0), 0)))</f>
        <v/>
      </c>
      <c r="U17">
        <f>IF('Habit Tracker'!U$12&gt;DATE(2026,8,18), "", IF('Habit Tracker'!U17="✔", IF(ISNUMBER(T17), T17+1, 1), IF('Habit Tracker'!U17="—", IF(ISNUMBER(T17), T17, 0), 0)))</f>
        <v/>
      </c>
      <c r="V17">
        <f>IF('Habit Tracker'!V$12&gt;DATE(2026,8,18), "", IF('Habit Tracker'!V17="✔", IF(ISNUMBER(U17), U17+1, 1), IF('Habit Tracker'!V17="—", IF(ISNUMBER(U17), U17, 0), 0)))</f>
        <v/>
      </c>
      <c r="W17">
        <f>IF('Habit Tracker'!W$12&gt;DATE(2026,8,18), "", IF('Habit Tracker'!W17="✔", IF(ISNUMBER(V17), V17+1, 1), IF('Habit Tracker'!W17="—", IF(ISNUMBER(V17), V17, 0), 0)))</f>
        <v/>
      </c>
      <c r="X17">
        <f>IF('Habit Tracker'!X$12&gt;DATE(2026,8,18), "", IF('Habit Tracker'!X17="✔", IF(ISNUMBER(W17), W17+1, 1), IF('Habit Tracker'!X17="—", IF(ISNUMBER(W17), W17, 0), 0)))</f>
        <v/>
      </c>
      <c r="Y17">
        <f>IF('Habit Tracker'!Y$12&gt;DATE(2026,8,18), "", IF('Habit Tracker'!Y17="✔", IF(ISNUMBER(X17), X17+1, 1), IF('Habit Tracker'!Y17="—", IF(ISNUMBER(X17), X17, 0), 0)))</f>
        <v/>
      </c>
      <c r="Z17">
        <f>IF('Habit Tracker'!Z$12&gt;DATE(2026,8,18), "", IF('Habit Tracker'!Z17="✔", IF(ISNUMBER(Y17), Y17+1, 1), IF('Habit Tracker'!Z17="—", IF(ISNUMBER(Y17), Y17, 0), 0)))</f>
        <v/>
      </c>
      <c r="AA17">
        <f>IF('Habit Tracker'!AA$12&gt;DATE(2026,8,18), "", IF('Habit Tracker'!AA17="✔", IF(ISNUMBER(Z17), Z17+1, 1), IF('Habit Tracker'!AA17="—", IF(ISNUMBER(Z17), Z17, 0), 0)))</f>
        <v/>
      </c>
      <c r="AB17">
        <f>IF('Habit Tracker'!AB$12&gt;DATE(2026,8,18), "", IF('Habit Tracker'!AB17="✔", IF(ISNUMBER(AA17), AA17+1, 1), IF('Habit Tracker'!AB17="—", IF(ISNUMBER(AA17), AA17, 0), 0)))</f>
        <v/>
      </c>
      <c r="AC17">
        <f>IF('Habit Tracker'!AC$12&gt;DATE(2026,8,18), "", IF('Habit Tracker'!AC17="✔", IF(ISNUMBER(AB17), AB17+1, 1), IF('Habit Tracker'!AC17="—", IF(ISNUMBER(AB17), AB17, 0), 0)))</f>
        <v/>
      </c>
      <c r="AD17">
        <f>IF('Habit Tracker'!AD$12&gt;DATE(2026,8,18), "", IF('Habit Tracker'!AD17="✔", IF(ISNUMBER(AC17), AC17+1, 1), IF('Habit Tracker'!AD17="—", IF(ISNUMBER(AC17), AC17, 0), 0)))</f>
        <v/>
      </c>
      <c r="AE17">
        <f>IF('Habit Tracker'!AE$12&gt;DATE(2026,8,18), "", IF('Habit Tracker'!AE17="✔", IF(ISNUMBER(AD17), AD17+1, 1), IF('Habit Tracker'!AE17="—", IF(ISNUMBER(AD17), AD17, 0), 0)))</f>
        <v/>
      </c>
      <c r="AF17">
        <f>IF('Habit Tracker'!AF$12&gt;DATE(2026,8,18), "", IF('Habit Tracker'!AF17="✔", IF(ISNUMBER(AE17), AE17+1, 1), IF('Habit Tracker'!AF17="—", IF(ISNUMBER(AE17), AE17, 0), 0)))</f>
        <v/>
      </c>
      <c r="AG17">
        <f>IF('Habit Tracker'!AG$12&gt;DATE(2026,8,18), "", IF('Habit Tracker'!AG17="✔", IF(ISNUMBER(AF17), AF17+1, 1), IF('Habit Tracker'!AG17="—", IF(ISNUMBER(AF17), AF17, 0), 0)))</f>
        <v/>
      </c>
      <c r="AH17">
        <f>IF('Habit Tracker'!AH$12&gt;DATE(2026,8,18), "", IF('Habit Tracker'!AH17="✔", IF(ISNUMBER(AG17), AG17+1, 1), IF('Habit Tracker'!AH17="—", IF(ISNUMBER(AG17), AG17, 0), 0)))</f>
        <v/>
      </c>
      <c r="AI17">
        <f>IF('Habit Tracker'!AI$12&gt;DATE(2026,8,18), "", IF('Habit Tracker'!AI17="✔", IF(ISNUMBER(AH17), AH17+1, 1), IF('Habit Tracker'!AI17="—", IF(ISNUMBER(AH17), AH17, 0), 0)))</f>
        <v/>
      </c>
      <c r="AJ17">
        <f>IF('Habit Tracker'!AJ$12&gt;DATE(2026,8,18), "", IF('Habit Tracker'!AJ17="✔", IF(ISNUMBER(AI17), AI17+1, 1), IF('Habit Tracker'!AJ17="—", IF(ISNUMBER(AI17), AI17, 0), 0)))</f>
        <v/>
      </c>
      <c r="AK17">
        <f>IF('Habit Tracker'!AK$12&gt;DATE(2026,8,18), "", IF('Habit Tracker'!AK17="✔", IF(ISNUMBER(AJ17), AJ17+1, 1), IF('Habit Tracker'!AK17="—", IF(ISNUMBER(AJ17), AJ17, 0), 0)))</f>
        <v/>
      </c>
      <c r="AL17">
        <f>IF('Habit Tracker'!AL$12&gt;DATE(2026,8,18), "", IF('Habit Tracker'!AL17="✔", IF(ISNUMBER(AK17), AK17+1, 1), IF('Habit Tracker'!AL17="—", IF(ISNUMBER(AK17), AK17, 0), 0)))</f>
        <v/>
      </c>
      <c r="AM17">
        <f>IF('Habit Tracker'!AM$12&gt;DATE(2026,8,18), "", IF('Habit Tracker'!AM17="✔", IF(ISNUMBER(AL17), AL17+1, 1), IF('Habit Tracker'!AM17="—", IF(ISNUMBER(AL17), AL17, 0), 0)))</f>
        <v/>
      </c>
      <c r="AN17">
        <f>IF('Habit Tracker'!AN$12&gt;DATE(2026,8,18), "", IF('Habit Tracker'!AN17="✔", IF(ISNUMBER(AM17), AM17+1, 1), IF('Habit Tracker'!AN17="—", IF(ISNUMBER(AM17), AM17, 0), 0)))</f>
        <v/>
      </c>
    </row>
    <row r="18">
      <c r="J18">
        <f>IF('Habit Tracker'!J$12&gt;DATE(2026,8,18), "", IF('Habit Tracker'!J18="✔", 1, 0))</f>
        <v/>
      </c>
      <c r="K18">
        <f>IF('Habit Tracker'!K$12&gt;DATE(2026,8,18), "", IF('Habit Tracker'!K18="✔", IF(ISNUMBER(J18), J18+1, 1), IF('Habit Tracker'!K18="—", IF(ISNUMBER(J18), J18, 0), 0)))</f>
        <v/>
      </c>
      <c r="L18">
        <f>IF('Habit Tracker'!L$12&gt;DATE(2026,8,18), "", IF('Habit Tracker'!L18="✔", IF(ISNUMBER(K18), K18+1, 1), IF('Habit Tracker'!L18="—", IF(ISNUMBER(K18), K18, 0), 0)))</f>
        <v/>
      </c>
      <c r="M18">
        <f>IF('Habit Tracker'!M$12&gt;DATE(2026,8,18), "", IF('Habit Tracker'!M18="✔", IF(ISNUMBER(L18), L18+1, 1), IF('Habit Tracker'!M18="—", IF(ISNUMBER(L18), L18, 0), 0)))</f>
        <v/>
      </c>
      <c r="N18">
        <f>IF('Habit Tracker'!N$12&gt;DATE(2026,8,18), "", IF('Habit Tracker'!N18="✔", IF(ISNUMBER(M18), M18+1, 1), IF('Habit Tracker'!N18="—", IF(ISNUMBER(M18), M18, 0), 0)))</f>
        <v/>
      </c>
      <c r="O18">
        <f>IF('Habit Tracker'!O$12&gt;DATE(2026,8,18), "", IF('Habit Tracker'!O18="✔", IF(ISNUMBER(N18), N18+1, 1), IF('Habit Tracker'!O18="—", IF(ISNUMBER(N18), N18, 0), 0)))</f>
        <v/>
      </c>
      <c r="P18">
        <f>IF('Habit Tracker'!P$12&gt;DATE(2026,8,18), "", IF('Habit Tracker'!P18="✔", IF(ISNUMBER(O18), O18+1, 1), IF('Habit Tracker'!P18="—", IF(ISNUMBER(O18), O18, 0), 0)))</f>
        <v/>
      </c>
      <c r="Q18">
        <f>IF('Habit Tracker'!Q$12&gt;DATE(2026,8,18), "", IF('Habit Tracker'!Q18="✔", IF(ISNUMBER(P18), P18+1, 1), IF('Habit Tracker'!Q18="—", IF(ISNUMBER(P18), P18, 0), 0)))</f>
        <v/>
      </c>
      <c r="R18">
        <f>IF('Habit Tracker'!R$12&gt;DATE(2026,8,18), "", IF('Habit Tracker'!R18="✔", IF(ISNUMBER(Q18), Q18+1, 1), IF('Habit Tracker'!R18="—", IF(ISNUMBER(Q18), Q18, 0), 0)))</f>
        <v/>
      </c>
      <c r="S18">
        <f>IF('Habit Tracker'!S$12&gt;DATE(2026,8,18), "", IF('Habit Tracker'!S18="✔", IF(ISNUMBER(R18), R18+1, 1), IF('Habit Tracker'!S18="—", IF(ISNUMBER(R18), R18, 0), 0)))</f>
        <v/>
      </c>
      <c r="T18">
        <f>IF('Habit Tracker'!T$12&gt;DATE(2026,8,18), "", IF('Habit Tracker'!T18="✔", IF(ISNUMBER(S18), S18+1, 1), IF('Habit Tracker'!T18="—", IF(ISNUMBER(S18), S18, 0), 0)))</f>
        <v/>
      </c>
      <c r="U18">
        <f>IF('Habit Tracker'!U$12&gt;DATE(2026,8,18), "", IF('Habit Tracker'!U18="✔", IF(ISNUMBER(T18), T18+1, 1), IF('Habit Tracker'!U18="—", IF(ISNUMBER(T18), T18, 0), 0)))</f>
        <v/>
      </c>
      <c r="V18">
        <f>IF('Habit Tracker'!V$12&gt;DATE(2026,8,18), "", IF('Habit Tracker'!V18="✔", IF(ISNUMBER(U18), U18+1, 1), IF('Habit Tracker'!V18="—", IF(ISNUMBER(U18), U18, 0), 0)))</f>
        <v/>
      </c>
      <c r="W18">
        <f>IF('Habit Tracker'!W$12&gt;DATE(2026,8,18), "", IF('Habit Tracker'!W18="✔", IF(ISNUMBER(V18), V18+1, 1), IF('Habit Tracker'!W18="—", IF(ISNUMBER(V18), V18, 0), 0)))</f>
        <v/>
      </c>
      <c r="X18">
        <f>IF('Habit Tracker'!X$12&gt;DATE(2026,8,18), "", IF('Habit Tracker'!X18="✔", IF(ISNUMBER(W18), W18+1, 1), IF('Habit Tracker'!X18="—", IF(ISNUMBER(W18), W18, 0), 0)))</f>
        <v/>
      </c>
      <c r="Y18">
        <f>IF('Habit Tracker'!Y$12&gt;DATE(2026,8,18), "", IF('Habit Tracker'!Y18="✔", IF(ISNUMBER(X18), X18+1, 1), IF('Habit Tracker'!Y18="—", IF(ISNUMBER(X18), X18, 0), 0)))</f>
        <v/>
      </c>
      <c r="Z18">
        <f>IF('Habit Tracker'!Z$12&gt;DATE(2026,8,18), "", IF('Habit Tracker'!Z18="✔", IF(ISNUMBER(Y18), Y18+1, 1), IF('Habit Tracker'!Z18="—", IF(ISNUMBER(Y18), Y18, 0), 0)))</f>
        <v/>
      </c>
      <c r="AA18">
        <f>IF('Habit Tracker'!AA$12&gt;DATE(2026,8,18), "", IF('Habit Tracker'!AA18="✔", IF(ISNUMBER(Z18), Z18+1, 1), IF('Habit Tracker'!AA18="—", IF(ISNUMBER(Z18), Z18, 0), 0)))</f>
        <v/>
      </c>
      <c r="AB18">
        <f>IF('Habit Tracker'!AB$12&gt;DATE(2026,8,18), "", IF('Habit Tracker'!AB18="✔", IF(ISNUMBER(AA18), AA18+1, 1), IF('Habit Tracker'!AB18="—", IF(ISNUMBER(AA18), AA18, 0), 0)))</f>
        <v/>
      </c>
      <c r="AC18">
        <f>IF('Habit Tracker'!AC$12&gt;DATE(2026,8,18), "", IF('Habit Tracker'!AC18="✔", IF(ISNUMBER(AB18), AB18+1, 1), IF('Habit Tracker'!AC18="—", IF(ISNUMBER(AB18), AB18, 0), 0)))</f>
        <v/>
      </c>
      <c r="AD18">
        <f>IF('Habit Tracker'!AD$12&gt;DATE(2026,8,18), "", IF('Habit Tracker'!AD18="✔", IF(ISNUMBER(AC18), AC18+1, 1), IF('Habit Tracker'!AD18="—", IF(ISNUMBER(AC18), AC18, 0), 0)))</f>
        <v/>
      </c>
      <c r="AE18">
        <f>IF('Habit Tracker'!AE$12&gt;DATE(2026,8,18), "", IF('Habit Tracker'!AE18="✔", IF(ISNUMBER(AD18), AD18+1, 1), IF('Habit Tracker'!AE18="—", IF(ISNUMBER(AD18), AD18, 0), 0)))</f>
        <v/>
      </c>
      <c r="AF18">
        <f>IF('Habit Tracker'!AF$12&gt;DATE(2026,8,18), "", IF('Habit Tracker'!AF18="✔", IF(ISNUMBER(AE18), AE18+1, 1), IF('Habit Tracker'!AF18="—", IF(ISNUMBER(AE18), AE18, 0), 0)))</f>
        <v/>
      </c>
      <c r="AG18">
        <f>IF('Habit Tracker'!AG$12&gt;DATE(2026,8,18), "", IF('Habit Tracker'!AG18="✔", IF(ISNUMBER(AF18), AF18+1, 1), IF('Habit Tracker'!AG18="—", IF(ISNUMBER(AF18), AF18, 0), 0)))</f>
        <v/>
      </c>
      <c r="AH18">
        <f>IF('Habit Tracker'!AH$12&gt;DATE(2026,8,18), "", IF('Habit Tracker'!AH18="✔", IF(ISNUMBER(AG18), AG18+1, 1), IF('Habit Tracker'!AH18="—", IF(ISNUMBER(AG18), AG18, 0), 0)))</f>
        <v/>
      </c>
      <c r="AI18">
        <f>IF('Habit Tracker'!AI$12&gt;DATE(2026,8,18), "", IF('Habit Tracker'!AI18="✔", IF(ISNUMBER(AH18), AH18+1, 1), IF('Habit Tracker'!AI18="—", IF(ISNUMBER(AH18), AH18, 0), 0)))</f>
        <v/>
      </c>
      <c r="AJ18">
        <f>IF('Habit Tracker'!AJ$12&gt;DATE(2026,8,18), "", IF('Habit Tracker'!AJ18="✔", IF(ISNUMBER(AI18), AI18+1, 1), IF('Habit Tracker'!AJ18="—", IF(ISNUMBER(AI18), AI18, 0), 0)))</f>
        <v/>
      </c>
      <c r="AK18">
        <f>IF('Habit Tracker'!AK$12&gt;DATE(2026,8,18), "", IF('Habit Tracker'!AK18="✔", IF(ISNUMBER(AJ18), AJ18+1, 1), IF('Habit Tracker'!AK18="—", IF(ISNUMBER(AJ18), AJ18, 0), 0)))</f>
        <v/>
      </c>
      <c r="AL18">
        <f>IF('Habit Tracker'!AL$12&gt;DATE(2026,8,18), "", IF('Habit Tracker'!AL18="✔", IF(ISNUMBER(AK18), AK18+1, 1), IF('Habit Tracker'!AL18="—", IF(ISNUMBER(AK18), AK18, 0), 0)))</f>
        <v/>
      </c>
      <c r="AM18">
        <f>IF('Habit Tracker'!AM$12&gt;DATE(2026,8,18), "", IF('Habit Tracker'!AM18="✔", IF(ISNUMBER(AL18), AL18+1, 1), IF('Habit Tracker'!AM18="—", IF(ISNUMBER(AL18), AL18, 0), 0)))</f>
        <v/>
      </c>
      <c r="AN18">
        <f>IF('Habit Tracker'!AN$12&gt;DATE(2026,8,18), "", IF('Habit Tracker'!AN18="✔", IF(ISNUMBER(AM18), AM18+1, 1), IF('Habit Tracker'!AN18="—", IF(ISNUMBER(AM18), AM18, 0), 0)))</f>
        <v/>
      </c>
    </row>
    <row r="19">
      <c r="J19">
        <f>IF('Habit Tracker'!J$12&gt;DATE(2026,8,18), "", IF('Habit Tracker'!J19="✔", 1, 0))</f>
        <v/>
      </c>
      <c r="K19">
        <f>IF('Habit Tracker'!K$12&gt;DATE(2026,8,18), "", IF('Habit Tracker'!K19="✔", IF(ISNUMBER(J19), J19+1, 1), IF('Habit Tracker'!K19="—", IF(ISNUMBER(J19), J19, 0), 0)))</f>
        <v/>
      </c>
      <c r="L19">
        <f>IF('Habit Tracker'!L$12&gt;DATE(2026,8,18), "", IF('Habit Tracker'!L19="✔", IF(ISNUMBER(K19), K19+1, 1), IF('Habit Tracker'!L19="—", IF(ISNUMBER(K19), K19, 0), 0)))</f>
        <v/>
      </c>
      <c r="M19">
        <f>IF('Habit Tracker'!M$12&gt;DATE(2026,8,18), "", IF('Habit Tracker'!M19="✔", IF(ISNUMBER(L19), L19+1, 1), IF('Habit Tracker'!M19="—", IF(ISNUMBER(L19), L19, 0), 0)))</f>
        <v/>
      </c>
      <c r="N19">
        <f>IF('Habit Tracker'!N$12&gt;DATE(2026,8,18), "", IF('Habit Tracker'!N19="✔", IF(ISNUMBER(M19), M19+1, 1), IF('Habit Tracker'!N19="—", IF(ISNUMBER(M19), M19, 0), 0)))</f>
        <v/>
      </c>
      <c r="O19">
        <f>IF('Habit Tracker'!O$12&gt;DATE(2026,8,18), "", IF('Habit Tracker'!O19="✔", IF(ISNUMBER(N19), N19+1, 1), IF('Habit Tracker'!O19="—", IF(ISNUMBER(N19), N19, 0), 0)))</f>
        <v/>
      </c>
      <c r="P19">
        <f>IF('Habit Tracker'!P$12&gt;DATE(2026,8,18), "", IF('Habit Tracker'!P19="✔", IF(ISNUMBER(O19), O19+1, 1), IF('Habit Tracker'!P19="—", IF(ISNUMBER(O19), O19, 0), 0)))</f>
        <v/>
      </c>
      <c r="Q19">
        <f>IF('Habit Tracker'!Q$12&gt;DATE(2026,8,18), "", IF('Habit Tracker'!Q19="✔", IF(ISNUMBER(P19), P19+1, 1), IF('Habit Tracker'!Q19="—", IF(ISNUMBER(P19), P19, 0), 0)))</f>
        <v/>
      </c>
      <c r="R19">
        <f>IF('Habit Tracker'!R$12&gt;DATE(2026,8,18), "", IF('Habit Tracker'!R19="✔", IF(ISNUMBER(Q19), Q19+1, 1), IF('Habit Tracker'!R19="—", IF(ISNUMBER(Q19), Q19, 0), 0)))</f>
        <v/>
      </c>
      <c r="S19">
        <f>IF('Habit Tracker'!S$12&gt;DATE(2026,8,18), "", IF('Habit Tracker'!S19="✔", IF(ISNUMBER(R19), R19+1, 1), IF('Habit Tracker'!S19="—", IF(ISNUMBER(R19), R19, 0), 0)))</f>
        <v/>
      </c>
      <c r="T19">
        <f>IF('Habit Tracker'!T$12&gt;DATE(2026,8,18), "", IF('Habit Tracker'!T19="✔", IF(ISNUMBER(S19), S19+1, 1), IF('Habit Tracker'!T19="—", IF(ISNUMBER(S19), S19, 0), 0)))</f>
        <v/>
      </c>
      <c r="U19">
        <f>IF('Habit Tracker'!U$12&gt;DATE(2026,8,18), "", IF('Habit Tracker'!U19="✔", IF(ISNUMBER(T19), T19+1, 1), IF('Habit Tracker'!U19="—", IF(ISNUMBER(T19), T19, 0), 0)))</f>
        <v/>
      </c>
      <c r="V19">
        <f>IF('Habit Tracker'!V$12&gt;DATE(2026,8,18), "", IF('Habit Tracker'!V19="✔", IF(ISNUMBER(U19), U19+1, 1), IF('Habit Tracker'!V19="—", IF(ISNUMBER(U19), U19, 0), 0)))</f>
        <v/>
      </c>
      <c r="W19">
        <f>IF('Habit Tracker'!W$12&gt;DATE(2026,8,18), "", IF('Habit Tracker'!W19="✔", IF(ISNUMBER(V19), V19+1, 1), IF('Habit Tracker'!W19="—", IF(ISNUMBER(V19), V19, 0), 0)))</f>
        <v/>
      </c>
      <c r="X19">
        <f>IF('Habit Tracker'!X$12&gt;DATE(2026,8,18), "", IF('Habit Tracker'!X19="✔", IF(ISNUMBER(W19), W19+1, 1), IF('Habit Tracker'!X19="—", IF(ISNUMBER(W19), W19, 0), 0)))</f>
        <v/>
      </c>
      <c r="Y19">
        <f>IF('Habit Tracker'!Y$12&gt;DATE(2026,8,18), "", IF('Habit Tracker'!Y19="✔", IF(ISNUMBER(X19), X19+1, 1), IF('Habit Tracker'!Y19="—", IF(ISNUMBER(X19), X19, 0), 0)))</f>
        <v/>
      </c>
      <c r="Z19">
        <f>IF('Habit Tracker'!Z$12&gt;DATE(2026,8,18), "", IF('Habit Tracker'!Z19="✔", IF(ISNUMBER(Y19), Y19+1, 1), IF('Habit Tracker'!Z19="—", IF(ISNUMBER(Y19), Y19, 0), 0)))</f>
        <v/>
      </c>
      <c r="AA19">
        <f>IF('Habit Tracker'!AA$12&gt;DATE(2026,8,18), "", IF('Habit Tracker'!AA19="✔", IF(ISNUMBER(Z19), Z19+1, 1), IF('Habit Tracker'!AA19="—", IF(ISNUMBER(Z19), Z19, 0), 0)))</f>
        <v/>
      </c>
      <c r="AB19">
        <f>IF('Habit Tracker'!AB$12&gt;DATE(2026,8,18), "", IF('Habit Tracker'!AB19="✔", IF(ISNUMBER(AA19), AA19+1, 1), IF('Habit Tracker'!AB19="—", IF(ISNUMBER(AA19), AA19, 0), 0)))</f>
        <v/>
      </c>
      <c r="AC19">
        <f>IF('Habit Tracker'!AC$12&gt;DATE(2026,8,18), "", IF('Habit Tracker'!AC19="✔", IF(ISNUMBER(AB19), AB19+1, 1), IF('Habit Tracker'!AC19="—", IF(ISNUMBER(AB19), AB19, 0), 0)))</f>
        <v/>
      </c>
      <c r="AD19">
        <f>IF('Habit Tracker'!AD$12&gt;DATE(2026,8,18), "", IF('Habit Tracker'!AD19="✔", IF(ISNUMBER(AC19), AC19+1, 1), IF('Habit Tracker'!AD19="—", IF(ISNUMBER(AC19), AC19, 0), 0)))</f>
        <v/>
      </c>
      <c r="AE19">
        <f>IF('Habit Tracker'!AE$12&gt;DATE(2026,8,18), "", IF('Habit Tracker'!AE19="✔", IF(ISNUMBER(AD19), AD19+1, 1), IF('Habit Tracker'!AE19="—", IF(ISNUMBER(AD19), AD19, 0), 0)))</f>
        <v/>
      </c>
      <c r="AF19">
        <f>IF('Habit Tracker'!AF$12&gt;DATE(2026,8,18), "", IF('Habit Tracker'!AF19="✔", IF(ISNUMBER(AE19), AE19+1, 1), IF('Habit Tracker'!AF19="—", IF(ISNUMBER(AE19), AE19, 0), 0)))</f>
        <v/>
      </c>
      <c r="AG19">
        <f>IF('Habit Tracker'!AG$12&gt;DATE(2026,8,18), "", IF('Habit Tracker'!AG19="✔", IF(ISNUMBER(AF19), AF19+1, 1), IF('Habit Tracker'!AG19="—", IF(ISNUMBER(AF19), AF19, 0), 0)))</f>
        <v/>
      </c>
      <c r="AH19">
        <f>IF('Habit Tracker'!AH$12&gt;DATE(2026,8,18), "", IF('Habit Tracker'!AH19="✔", IF(ISNUMBER(AG19), AG19+1, 1), IF('Habit Tracker'!AH19="—", IF(ISNUMBER(AG19), AG19, 0), 0)))</f>
        <v/>
      </c>
      <c r="AI19">
        <f>IF('Habit Tracker'!AI$12&gt;DATE(2026,8,18), "", IF('Habit Tracker'!AI19="✔", IF(ISNUMBER(AH19), AH19+1, 1), IF('Habit Tracker'!AI19="—", IF(ISNUMBER(AH19), AH19, 0), 0)))</f>
        <v/>
      </c>
      <c r="AJ19">
        <f>IF('Habit Tracker'!AJ$12&gt;DATE(2026,8,18), "", IF('Habit Tracker'!AJ19="✔", IF(ISNUMBER(AI19), AI19+1, 1), IF('Habit Tracker'!AJ19="—", IF(ISNUMBER(AI19), AI19, 0), 0)))</f>
        <v/>
      </c>
      <c r="AK19">
        <f>IF('Habit Tracker'!AK$12&gt;DATE(2026,8,18), "", IF('Habit Tracker'!AK19="✔", IF(ISNUMBER(AJ19), AJ19+1, 1), IF('Habit Tracker'!AK19="—", IF(ISNUMBER(AJ19), AJ19, 0), 0)))</f>
        <v/>
      </c>
      <c r="AL19">
        <f>IF('Habit Tracker'!AL$12&gt;DATE(2026,8,18), "", IF('Habit Tracker'!AL19="✔", IF(ISNUMBER(AK19), AK19+1, 1), IF('Habit Tracker'!AL19="—", IF(ISNUMBER(AK19), AK19, 0), 0)))</f>
        <v/>
      </c>
      <c r="AM19">
        <f>IF('Habit Tracker'!AM$12&gt;DATE(2026,8,18), "", IF('Habit Tracker'!AM19="✔", IF(ISNUMBER(AL19), AL19+1, 1), IF('Habit Tracker'!AM19="—", IF(ISNUMBER(AL19), AL19, 0), 0)))</f>
        <v/>
      </c>
      <c r="AN19">
        <f>IF('Habit Tracker'!AN$12&gt;DATE(2026,8,18), "", IF('Habit Tracker'!AN19="✔", IF(ISNUMBER(AM19), AM19+1, 1), IF('Habit Tracker'!AN19="—", IF(ISNUMBER(AM19), AM19, 0), 0)))</f>
        <v/>
      </c>
    </row>
    <row r="20">
      <c r="J20">
        <f>IF('Habit Tracker'!J$12&gt;DATE(2026,8,18), "", IF('Habit Tracker'!J20="✔", 1, 0))</f>
        <v/>
      </c>
      <c r="K20">
        <f>IF('Habit Tracker'!K$12&gt;DATE(2026,8,18), "", IF('Habit Tracker'!K20="✔", IF(ISNUMBER(J20), J20+1, 1), IF('Habit Tracker'!K20="—", IF(ISNUMBER(J20), J20, 0), 0)))</f>
        <v/>
      </c>
      <c r="L20">
        <f>IF('Habit Tracker'!L$12&gt;DATE(2026,8,18), "", IF('Habit Tracker'!L20="✔", IF(ISNUMBER(K20), K20+1, 1), IF('Habit Tracker'!L20="—", IF(ISNUMBER(K20), K20, 0), 0)))</f>
        <v/>
      </c>
      <c r="M20">
        <f>IF('Habit Tracker'!M$12&gt;DATE(2026,8,18), "", IF('Habit Tracker'!M20="✔", IF(ISNUMBER(L20), L20+1, 1), IF('Habit Tracker'!M20="—", IF(ISNUMBER(L20), L20, 0), 0)))</f>
        <v/>
      </c>
      <c r="N20">
        <f>IF('Habit Tracker'!N$12&gt;DATE(2026,8,18), "", IF('Habit Tracker'!N20="✔", IF(ISNUMBER(M20), M20+1, 1), IF('Habit Tracker'!N20="—", IF(ISNUMBER(M20), M20, 0), 0)))</f>
        <v/>
      </c>
      <c r="O20">
        <f>IF('Habit Tracker'!O$12&gt;DATE(2026,8,18), "", IF('Habit Tracker'!O20="✔", IF(ISNUMBER(N20), N20+1, 1), IF('Habit Tracker'!O20="—", IF(ISNUMBER(N20), N20, 0), 0)))</f>
        <v/>
      </c>
      <c r="P20">
        <f>IF('Habit Tracker'!P$12&gt;DATE(2026,8,18), "", IF('Habit Tracker'!P20="✔", IF(ISNUMBER(O20), O20+1, 1), IF('Habit Tracker'!P20="—", IF(ISNUMBER(O20), O20, 0), 0)))</f>
        <v/>
      </c>
      <c r="Q20">
        <f>IF('Habit Tracker'!Q$12&gt;DATE(2026,8,18), "", IF('Habit Tracker'!Q20="✔", IF(ISNUMBER(P20), P20+1, 1), IF('Habit Tracker'!Q20="—", IF(ISNUMBER(P20), P20, 0), 0)))</f>
        <v/>
      </c>
      <c r="R20">
        <f>IF('Habit Tracker'!R$12&gt;DATE(2026,8,18), "", IF('Habit Tracker'!R20="✔", IF(ISNUMBER(Q20), Q20+1, 1), IF('Habit Tracker'!R20="—", IF(ISNUMBER(Q20), Q20, 0), 0)))</f>
        <v/>
      </c>
      <c r="S20">
        <f>IF('Habit Tracker'!S$12&gt;DATE(2026,8,18), "", IF('Habit Tracker'!S20="✔", IF(ISNUMBER(R20), R20+1, 1), IF('Habit Tracker'!S20="—", IF(ISNUMBER(R20), R20, 0), 0)))</f>
        <v/>
      </c>
      <c r="T20">
        <f>IF('Habit Tracker'!T$12&gt;DATE(2026,8,18), "", IF('Habit Tracker'!T20="✔", IF(ISNUMBER(S20), S20+1, 1), IF('Habit Tracker'!T20="—", IF(ISNUMBER(S20), S20, 0), 0)))</f>
        <v/>
      </c>
      <c r="U20">
        <f>IF('Habit Tracker'!U$12&gt;DATE(2026,8,18), "", IF('Habit Tracker'!U20="✔", IF(ISNUMBER(T20), T20+1, 1), IF('Habit Tracker'!U20="—", IF(ISNUMBER(T20), T20, 0), 0)))</f>
        <v/>
      </c>
      <c r="V20">
        <f>IF('Habit Tracker'!V$12&gt;DATE(2026,8,18), "", IF('Habit Tracker'!V20="✔", IF(ISNUMBER(U20), U20+1, 1), IF('Habit Tracker'!V20="—", IF(ISNUMBER(U20), U20, 0), 0)))</f>
        <v/>
      </c>
      <c r="W20">
        <f>IF('Habit Tracker'!W$12&gt;DATE(2026,8,18), "", IF('Habit Tracker'!W20="✔", IF(ISNUMBER(V20), V20+1, 1), IF('Habit Tracker'!W20="—", IF(ISNUMBER(V20), V20, 0), 0)))</f>
        <v/>
      </c>
      <c r="X20">
        <f>IF('Habit Tracker'!X$12&gt;DATE(2026,8,18), "", IF('Habit Tracker'!X20="✔", IF(ISNUMBER(W20), W20+1, 1), IF('Habit Tracker'!X20="—", IF(ISNUMBER(W20), W20, 0), 0)))</f>
        <v/>
      </c>
      <c r="Y20">
        <f>IF('Habit Tracker'!Y$12&gt;DATE(2026,8,18), "", IF('Habit Tracker'!Y20="✔", IF(ISNUMBER(X20), X20+1, 1), IF('Habit Tracker'!Y20="—", IF(ISNUMBER(X20), X20, 0), 0)))</f>
        <v/>
      </c>
      <c r="Z20">
        <f>IF('Habit Tracker'!Z$12&gt;DATE(2026,8,18), "", IF('Habit Tracker'!Z20="✔", IF(ISNUMBER(Y20), Y20+1, 1), IF('Habit Tracker'!Z20="—", IF(ISNUMBER(Y20), Y20, 0), 0)))</f>
        <v/>
      </c>
      <c r="AA20">
        <f>IF('Habit Tracker'!AA$12&gt;DATE(2026,8,18), "", IF('Habit Tracker'!AA20="✔", IF(ISNUMBER(Z20), Z20+1, 1), IF('Habit Tracker'!AA20="—", IF(ISNUMBER(Z20), Z20, 0), 0)))</f>
        <v/>
      </c>
      <c r="AB20">
        <f>IF('Habit Tracker'!AB$12&gt;DATE(2026,8,18), "", IF('Habit Tracker'!AB20="✔", IF(ISNUMBER(AA20), AA20+1, 1), IF('Habit Tracker'!AB20="—", IF(ISNUMBER(AA20), AA20, 0), 0)))</f>
        <v/>
      </c>
      <c r="AC20">
        <f>IF('Habit Tracker'!AC$12&gt;DATE(2026,8,18), "", IF('Habit Tracker'!AC20="✔", IF(ISNUMBER(AB20), AB20+1, 1), IF('Habit Tracker'!AC20="—", IF(ISNUMBER(AB20), AB20, 0), 0)))</f>
        <v/>
      </c>
      <c r="AD20">
        <f>IF('Habit Tracker'!AD$12&gt;DATE(2026,8,18), "", IF('Habit Tracker'!AD20="✔", IF(ISNUMBER(AC20), AC20+1, 1), IF('Habit Tracker'!AD20="—", IF(ISNUMBER(AC20), AC20, 0), 0)))</f>
        <v/>
      </c>
      <c r="AE20">
        <f>IF('Habit Tracker'!AE$12&gt;DATE(2026,8,18), "", IF('Habit Tracker'!AE20="✔", IF(ISNUMBER(AD20), AD20+1, 1), IF('Habit Tracker'!AE20="—", IF(ISNUMBER(AD20), AD20, 0), 0)))</f>
        <v/>
      </c>
      <c r="AF20">
        <f>IF('Habit Tracker'!AF$12&gt;DATE(2026,8,18), "", IF('Habit Tracker'!AF20="✔", IF(ISNUMBER(AE20), AE20+1, 1), IF('Habit Tracker'!AF20="—", IF(ISNUMBER(AE20), AE20, 0), 0)))</f>
        <v/>
      </c>
      <c r="AG20">
        <f>IF('Habit Tracker'!AG$12&gt;DATE(2026,8,18), "", IF('Habit Tracker'!AG20="✔", IF(ISNUMBER(AF20), AF20+1, 1), IF('Habit Tracker'!AG20="—", IF(ISNUMBER(AF20), AF20, 0), 0)))</f>
        <v/>
      </c>
      <c r="AH20">
        <f>IF('Habit Tracker'!AH$12&gt;DATE(2026,8,18), "", IF('Habit Tracker'!AH20="✔", IF(ISNUMBER(AG20), AG20+1, 1), IF('Habit Tracker'!AH20="—", IF(ISNUMBER(AG20), AG20, 0), 0)))</f>
        <v/>
      </c>
      <c r="AI20">
        <f>IF('Habit Tracker'!AI$12&gt;DATE(2026,8,18), "", IF('Habit Tracker'!AI20="✔", IF(ISNUMBER(AH20), AH20+1, 1), IF('Habit Tracker'!AI20="—", IF(ISNUMBER(AH20), AH20, 0), 0)))</f>
        <v/>
      </c>
      <c r="AJ20">
        <f>IF('Habit Tracker'!AJ$12&gt;DATE(2026,8,18), "", IF('Habit Tracker'!AJ20="✔", IF(ISNUMBER(AI20), AI20+1, 1), IF('Habit Tracker'!AJ20="—", IF(ISNUMBER(AI20), AI20, 0), 0)))</f>
        <v/>
      </c>
      <c r="AK20">
        <f>IF('Habit Tracker'!AK$12&gt;DATE(2026,8,18), "", IF('Habit Tracker'!AK20="✔", IF(ISNUMBER(AJ20), AJ20+1, 1), IF('Habit Tracker'!AK20="—", IF(ISNUMBER(AJ20), AJ20, 0), 0)))</f>
        <v/>
      </c>
      <c r="AL20">
        <f>IF('Habit Tracker'!AL$12&gt;DATE(2026,8,18), "", IF('Habit Tracker'!AL20="✔", IF(ISNUMBER(AK20), AK20+1, 1), IF('Habit Tracker'!AL20="—", IF(ISNUMBER(AK20), AK20, 0), 0)))</f>
        <v/>
      </c>
      <c r="AM20">
        <f>IF('Habit Tracker'!AM$12&gt;DATE(2026,8,18), "", IF('Habit Tracker'!AM20="✔", IF(ISNUMBER(AL20), AL20+1, 1), IF('Habit Tracker'!AM20="—", IF(ISNUMBER(AL20), AL20, 0), 0)))</f>
        <v/>
      </c>
      <c r="AN20">
        <f>IF('Habit Tracker'!AN$12&gt;DATE(2026,8,18), "", IF('Habit Tracker'!AN20="✔", IF(ISNUMBER(AM20), AM20+1, 1), IF('Habit Tracker'!AN20="—", IF(ISNUMBER(AM20), AM20, 0), 0)))</f>
        <v/>
      </c>
    </row>
    <row r="21">
      <c r="J21">
        <f>IF('Habit Tracker'!J$12&gt;DATE(2026,8,18), "", IF('Habit Tracker'!J21="✔", 1, 0))</f>
        <v/>
      </c>
      <c r="K21">
        <f>IF('Habit Tracker'!K$12&gt;DATE(2026,8,18), "", IF('Habit Tracker'!K21="✔", IF(ISNUMBER(J21), J21+1, 1), IF('Habit Tracker'!K21="—", IF(ISNUMBER(J21), J21, 0), 0)))</f>
        <v/>
      </c>
      <c r="L21">
        <f>IF('Habit Tracker'!L$12&gt;DATE(2026,8,18), "", IF('Habit Tracker'!L21="✔", IF(ISNUMBER(K21), K21+1, 1), IF('Habit Tracker'!L21="—", IF(ISNUMBER(K21), K21, 0), 0)))</f>
        <v/>
      </c>
      <c r="M21">
        <f>IF('Habit Tracker'!M$12&gt;DATE(2026,8,18), "", IF('Habit Tracker'!M21="✔", IF(ISNUMBER(L21), L21+1, 1), IF('Habit Tracker'!M21="—", IF(ISNUMBER(L21), L21, 0), 0)))</f>
        <v/>
      </c>
      <c r="N21">
        <f>IF('Habit Tracker'!N$12&gt;DATE(2026,8,18), "", IF('Habit Tracker'!N21="✔", IF(ISNUMBER(M21), M21+1, 1), IF('Habit Tracker'!N21="—", IF(ISNUMBER(M21), M21, 0), 0)))</f>
        <v/>
      </c>
      <c r="O21">
        <f>IF('Habit Tracker'!O$12&gt;DATE(2026,8,18), "", IF('Habit Tracker'!O21="✔", IF(ISNUMBER(N21), N21+1, 1), IF('Habit Tracker'!O21="—", IF(ISNUMBER(N21), N21, 0), 0)))</f>
        <v/>
      </c>
      <c r="P21">
        <f>IF('Habit Tracker'!P$12&gt;DATE(2026,8,18), "", IF('Habit Tracker'!P21="✔", IF(ISNUMBER(O21), O21+1, 1), IF('Habit Tracker'!P21="—", IF(ISNUMBER(O21), O21, 0), 0)))</f>
        <v/>
      </c>
      <c r="Q21">
        <f>IF('Habit Tracker'!Q$12&gt;DATE(2026,8,18), "", IF('Habit Tracker'!Q21="✔", IF(ISNUMBER(P21), P21+1, 1), IF('Habit Tracker'!Q21="—", IF(ISNUMBER(P21), P21, 0), 0)))</f>
        <v/>
      </c>
      <c r="R21">
        <f>IF('Habit Tracker'!R$12&gt;DATE(2026,8,18), "", IF('Habit Tracker'!R21="✔", IF(ISNUMBER(Q21), Q21+1, 1), IF('Habit Tracker'!R21="—", IF(ISNUMBER(Q21), Q21, 0), 0)))</f>
        <v/>
      </c>
      <c r="S21">
        <f>IF('Habit Tracker'!S$12&gt;DATE(2026,8,18), "", IF('Habit Tracker'!S21="✔", IF(ISNUMBER(R21), R21+1, 1), IF('Habit Tracker'!S21="—", IF(ISNUMBER(R21), R21, 0), 0)))</f>
        <v/>
      </c>
      <c r="T21">
        <f>IF('Habit Tracker'!T$12&gt;DATE(2026,8,18), "", IF('Habit Tracker'!T21="✔", IF(ISNUMBER(S21), S21+1, 1), IF('Habit Tracker'!T21="—", IF(ISNUMBER(S21), S21, 0), 0)))</f>
        <v/>
      </c>
      <c r="U21">
        <f>IF('Habit Tracker'!U$12&gt;DATE(2026,8,18), "", IF('Habit Tracker'!U21="✔", IF(ISNUMBER(T21), T21+1, 1), IF('Habit Tracker'!U21="—", IF(ISNUMBER(T21), T21, 0), 0)))</f>
        <v/>
      </c>
      <c r="V21">
        <f>IF('Habit Tracker'!V$12&gt;DATE(2026,8,18), "", IF('Habit Tracker'!V21="✔", IF(ISNUMBER(U21), U21+1, 1), IF('Habit Tracker'!V21="—", IF(ISNUMBER(U21), U21, 0), 0)))</f>
        <v/>
      </c>
      <c r="W21">
        <f>IF('Habit Tracker'!W$12&gt;DATE(2026,8,18), "", IF('Habit Tracker'!W21="✔", IF(ISNUMBER(V21), V21+1, 1), IF('Habit Tracker'!W21="—", IF(ISNUMBER(V21), V21, 0), 0)))</f>
        <v/>
      </c>
      <c r="X21">
        <f>IF('Habit Tracker'!X$12&gt;DATE(2026,8,18), "", IF('Habit Tracker'!X21="✔", IF(ISNUMBER(W21), W21+1, 1), IF('Habit Tracker'!X21="—", IF(ISNUMBER(W21), W21, 0), 0)))</f>
        <v/>
      </c>
      <c r="Y21">
        <f>IF('Habit Tracker'!Y$12&gt;DATE(2026,8,18), "", IF('Habit Tracker'!Y21="✔", IF(ISNUMBER(X21), X21+1, 1), IF('Habit Tracker'!Y21="—", IF(ISNUMBER(X21), X21, 0), 0)))</f>
        <v/>
      </c>
      <c r="Z21">
        <f>IF('Habit Tracker'!Z$12&gt;DATE(2026,8,18), "", IF('Habit Tracker'!Z21="✔", IF(ISNUMBER(Y21), Y21+1, 1), IF('Habit Tracker'!Z21="—", IF(ISNUMBER(Y21), Y21, 0), 0)))</f>
        <v/>
      </c>
      <c r="AA21">
        <f>IF('Habit Tracker'!AA$12&gt;DATE(2026,8,18), "", IF('Habit Tracker'!AA21="✔", IF(ISNUMBER(Z21), Z21+1, 1), IF('Habit Tracker'!AA21="—", IF(ISNUMBER(Z21), Z21, 0), 0)))</f>
        <v/>
      </c>
      <c r="AB21">
        <f>IF('Habit Tracker'!AB$12&gt;DATE(2026,8,18), "", IF('Habit Tracker'!AB21="✔", IF(ISNUMBER(AA21), AA21+1, 1), IF('Habit Tracker'!AB21="—", IF(ISNUMBER(AA21), AA21, 0), 0)))</f>
        <v/>
      </c>
      <c r="AC21">
        <f>IF('Habit Tracker'!AC$12&gt;DATE(2026,8,18), "", IF('Habit Tracker'!AC21="✔", IF(ISNUMBER(AB21), AB21+1, 1), IF('Habit Tracker'!AC21="—", IF(ISNUMBER(AB21), AB21, 0), 0)))</f>
        <v/>
      </c>
      <c r="AD21">
        <f>IF('Habit Tracker'!AD$12&gt;DATE(2026,8,18), "", IF('Habit Tracker'!AD21="✔", IF(ISNUMBER(AC21), AC21+1, 1), IF('Habit Tracker'!AD21="—", IF(ISNUMBER(AC21), AC21, 0), 0)))</f>
        <v/>
      </c>
      <c r="AE21">
        <f>IF('Habit Tracker'!AE$12&gt;DATE(2026,8,18), "", IF('Habit Tracker'!AE21="✔", IF(ISNUMBER(AD21), AD21+1, 1), IF('Habit Tracker'!AE21="—", IF(ISNUMBER(AD21), AD21, 0), 0)))</f>
        <v/>
      </c>
      <c r="AF21">
        <f>IF('Habit Tracker'!AF$12&gt;DATE(2026,8,18), "", IF('Habit Tracker'!AF21="✔", IF(ISNUMBER(AE21), AE21+1, 1), IF('Habit Tracker'!AF21="—", IF(ISNUMBER(AE21), AE21, 0), 0)))</f>
        <v/>
      </c>
      <c r="AG21">
        <f>IF('Habit Tracker'!AG$12&gt;DATE(2026,8,18), "", IF('Habit Tracker'!AG21="✔", IF(ISNUMBER(AF21), AF21+1, 1), IF('Habit Tracker'!AG21="—", IF(ISNUMBER(AF21), AF21, 0), 0)))</f>
        <v/>
      </c>
      <c r="AH21">
        <f>IF('Habit Tracker'!AH$12&gt;DATE(2026,8,18), "", IF('Habit Tracker'!AH21="✔", IF(ISNUMBER(AG21), AG21+1, 1), IF('Habit Tracker'!AH21="—", IF(ISNUMBER(AG21), AG21, 0), 0)))</f>
        <v/>
      </c>
      <c r="AI21">
        <f>IF('Habit Tracker'!AI$12&gt;DATE(2026,8,18), "", IF('Habit Tracker'!AI21="✔", IF(ISNUMBER(AH21), AH21+1, 1), IF('Habit Tracker'!AI21="—", IF(ISNUMBER(AH21), AH21, 0), 0)))</f>
        <v/>
      </c>
      <c r="AJ21">
        <f>IF('Habit Tracker'!AJ$12&gt;DATE(2026,8,18), "", IF('Habit Tracker'!AJ21="✔", IF(ISNUMBER(AI21), AI21+1, 1), IF('Habit Tracker'!AJ21="—", IF(ISNUMBER(AI21), AI21, 0), 0)))</f>
        <v/>
      </c>
      <c r="AK21">
        <f>IF('Habit Tracker'!AK$12&gt;DATE(2026,8,18), "", IF('Habit Tracker'!AK21="✔", IF(ISNUMBER(AJ21), AJ21+1, 1), IF('Habit Tracker'!AK21="—", IF(ISNUMBER(AJ21), AJ21, 0), 0)))</f>
        <v/>
      </c>
      <c r="AL21">
        <f>IF('Habit Tracker'!AL$12&gt;DATE(2026,8,18), "", IF('Habit Tracker'!AL21="✔", IF(ISNUMBER(AK21), AK21+1, 1), IF('Habit Tracker'!AL21="—", IF(ISNUMBER(AK21), AK21, 0), 0)))</f>
        <v/>
      </c>
      <c r="AM21">
        <f>IF('Habit Tracker'!AM$12&gt;DATE(2026,8,18), "", IF('Habit Tracker'!AM21="✔", IF(ISNUMBER(AL21), AL21+1, 1), IF('Habit Tracker'!AM21="—", IF(ISNUMBER(AL21), AL21, 0), 0)))</f>
        <v/>
      </c>
      <c r="AN21">
        <f>IF('Habit Tracker'!AN$12&gt;DATE(2026,8,18), "", IF('Habit Tracker'!AN21="✔", IF(ISNUMBER(AM21), AM21+1, 1), IF('Habit Tracker'!AN21="—", IF(ISNUMBER(AM21), AM21, 0), 0)))</f>
        <v/>
      </c>
    </row>
    <row r="22">
      <c r="J22">
        <f>IF('Habit Tracker'!J$12&gt;DATE(2026,8,18), "", IF('Habit Tracker'!J22="✔", 1, 0))</f>
        <v/>
      </c>
      <c r="K22">
        <f>IF('Habit Tracker'!K$12&gt;DATE(2026,8,18), "", IF('Habit Tracker'!K22="✔", IF(ISNUMBER(J22), J22+1, 1), IF('Habit Tracker'!K22="—", IF(ISNUMBER(J22), J22, 0), 0)))</f>
        <v/>
      </c>
      <c r="L22">
        <f>IF('Habit Tracker'!L$12&gt;DATE(2026,8,18), "", IF('Habit Tracker'!L22="✔", IF(ISNUMBER(K22), K22+1, 1), IF('Habit Tracker'!L22="—", IF(ISNUMBER(K22), K22, 0), 0)))</f>
        <v/>
      </c>
      <c r="M22">
        <f>IF('Habit Tracker'!M$12&gt;DATE(2026,8,18), "", IF('Habit Tracker'!M22="✔", IF(ISNUMBER(L22), L22+1, 1), IF('Habit Tracker'!M22="—", IF(ISNUMBER(L22), L22, 0), 0)))</f>
        <v/>
      </c>
      <c r="N22">
        <f>IF('Habit Tracker'!N$12&gt;DATE(2026,8,18), "", IF('Habit Tracker'!N22="✔", IF(ISNUMBER(M22), M22+1, 1), IF('Habit Tracker'!N22="—", IF(ISNUMBER(M22), M22, 0), 0)))</f>
        <v/>
      </c>
      <c r="O22">
        <f>IF('Habit Tracker'!O$12&gt;DATE(2026,8,18), "", IF('Habit Tracker'!O22="✔", IF(ISNUMBER(N22), N22+1, 1), IF('Habit Tracker'!O22="—", IF(ISNUMBER(N22), N22, 0), 0)))</f>
        <v/>
      </c>
      <c r="P22">
        <f>IF('Habit Tracker'!P$12&gt;DATE(2026,8,18), "", IF('Habit Tracker'!P22="✔", IF(ISNUMBER(O22), O22+1, 1), IF('Habit Tracker'!P22="—", IF(ISNUMBER(O22), O22, 0), 0)))</f>
        <v/>
      </c>
      <c r="Q22">
        <f>IF('Habit Tracker'!Q$12&gt;DATE(2026,8,18), "", IF('Habit Tracker'!Q22="✔", IF(ISNUMBER(P22), P22+1, 1), IF('Habit Tracker'!Q22="—", IF(ISNUMBER(P22), P22, 0), 0)))</f>
        <v/>
      </c>
      <c r="R22">
        <f>IF('Habit Tracker'!R$12&gt;DATE(2026,8,18), "", IF('Habit Tracker'!R22="✔", IF(ISNUMBER(Q22), Q22+1, 1), IF('Habit Tracker'!R22="—", IF(ISNUMBER(Q22), Q22, 0), 0)))</f>
        <v/>
      </c>
      <c r="S22">
        <f>IF('Habit Tracker'!S$12&gt;DATE(2026,8,18), "", IF('Habit Tracker'!S22="✔", IF(ISNUMBER(R22), R22+1, 1), IF('Habit Tracker'!S22="—", IF(ISNUMBER(R22), R22, 0), 0)))</f>
        <v/>
      </c>
      <c r="T22">
        <f>IF('Habit Tracker'!T$12&gt;DATE(2026,8,18), "", IF('Habit Tracker'!T22="✔", IF(ISNUMBER(S22), S22+1, 1), IF('Habit Tracker'!T22="—", IF(ISNUMBER(S22), S22, 0), 0)))</f>
        <v/>
      </c>
      <c r="U22">
        <f>IF('Habit Tracker'!U$12&gt;DATE(2026,8,18), "", IF('Habit Tracker'!U22="✔", IF(ISNUMBER(T22), T22+1, 1), IF('Habit Tracker'!U22="—", IF(ISNUMBER(T22), T22, 0), 0)))</f>
        <v/>
      </c>
      <c r="V22">
        <f>IF('Habit Tracker'!V$12&gt;DATE(2026,8,18), "", IF('Habit Tracker'!V22="✔", IF(ISNUMBER(U22), U22+1, 1), IF('Habit Tracker'!V22="—", IF(ISNUMBER(U22), U22, 0), 0)))</f>
        <v/>
      </c>
      <c r="W22">
        <f>IF('Habit Tracker'!W$12&gt;DATE(2026,8,18), "", IF('Habit Tracker'!W22="✔", IF(ISNUMBER(V22), V22+1, 1), IF('Habit Tracker'!W22="—", IF(ISNUMBER(V22), V22, 0), 0)))</f>
        <v/>
      </c>
      <c r="X22">
        <f>IF('Habit Tracker'!X$12&gt;DATE(2026,8,18), "", IF('Habit Tracker'!X22="✔", IF(ISNUMBER(W22), W22+1, 1), IF('Habit Tracker'!X22="—", IF(ISNUMBER(W22), W22, 0), 0)))</f>
        <v/>
      </c>
      <c r="Y22">
        <f>IF('Habit Tracker'!Y$12&gt;DATE(2026,8,18), "", IF('Habit Tracker'!Y22="✔", IF(ISNUMBER(X22), X22+1, 1), IF('Habit Tracker'!Y22="—", IF(ISNUMBER(X22), X22, 0), 0)))</f>
        <v/>
      </c>
      <c r="Z22">
        <f>IF('Habit Tracker'!Z$12&gt;DATE(2026,8,18), "", IF('Habit Tracker'!Z22="✔", IF(ISNUMBER(Y22), Y22+1, 1), IF('Habit Tracker'!Z22="—", IF(ISNUMBER(Y22), Y22, 0), 0)))</f>
        <v/>
      </c>
      <c r="AA22">
        <f>IF('Habit Tracker'!AA$12&gt;DATE(2026,8,18), "", IF('Habit Tracker'!AA22="✔", IF(ISNUMBER(Z22), Z22+1, 1), IF('Habit Tracker'!AA22="—", IF(ISNUMBER(Z22), Z22, 0), 0)))</f>
        <v/>
      </c>
      <c r="AB22">
        <f>IF('Habit Tracker'!AB$12&gt;DATE(2026,8,18), "", IF('Habit Tracker'!AB22="✔", IF(ISNUMBER(AA22), AA22+1, 1), IF('Habit Tracker'!AB22="—", IF(ISNUMBER(AA22), AA22, 0), 0)))</f>
        <v/>
      </c>
      <c r="AC22">
        <f>IF('Habit Tracker'!AC$12&gt;DATE(2026,8,18), "", IF('Habit Tracker'!AC22="✔", IF(ISNUMBER(AB22), AB22+1, 1), IF('Habit Tracker'!AC22="—", IF(ISNUMBER(AB22), AB22, 0), 0)))</f>
        <v/>
      </c>
      <c r="AD22">
        <f>IF('Habit Tracker'!AD$12&gt;DATE(2026,8,18), "", IF('Habit Tracker'!AD22="✔", IF(ISNUMBER(AC22), AC22+1, 1), IF('Habit Tracker'!AD22="—", IF(ISNUMBER(AC22), AC22, 0), 0)))</f>
        <v/>
      </c>
      <c r="AE22">
        <f>IF('Habit Tracker'!AE$12&gt;DATE(2026,8,18), "", IF('Habit Tracker'!AE22="✔", IF(ISNUMBER(AD22), AD22+1, 1), IF('Habit Tracker'!AE22="—", IF(ISNUMBER(AD22), AD22, 0), 0)))</f>
        <v/>
      </c>
      <c r="AF22">
        <f>IF('Habit Tracker'!AF$12&gt;DATE(2026,8,18), "", IF('Habit Tracker'!AF22="✔", IF(ISNUMBER(AE22), AE22+1, 1), IF('Habit Tracker'!AF22="—", IF(ISNUMBER(AE22), AE22, 0), 0)))</f>
        <v/>
      </c>
      <c r="AG22">
        <f>IF('Habit Tracker'!AG$12&gt;DATE(2026,8,18), "", IF('Habit Tracker'!AG22="✔", IF(ISNUMBER(AF22), AF22+1, 1), IF('Habit Tracker'!AG22="—", IF(ISNUMBER(AF22), AF22, 0), 0)))</f>
        <v/>
      </c>
      <c r="AH22">
        <f>IF('Habit Tracker'!AH$12&gt;DATE(2026,8,18), "", IF('Habit Tracker'!AH22="✔", IF(ISNUMBER(AG22), AG22+1, 1), IF('Habit Tracker'!AH22="—", IF(ISNUMBER(AG22), AG22, 0), 0)))</f>
        <v/>
      </c>
      <c r="AI22">
        <f>IF('Habit Tracker'!AI$12&gt;DATE(2026,8,18), "", IF('Habit Tracker'!AI22="✔", IF(ISNUMBER(AH22), AH22+1, 1), IF('Habit Tracker'!AI22="—", IF(ISNUMBER(AH22), AH22, 0), 0)))</f>
        <v/>
      </c>
      <c r="AJ22">
        <f>IF('Habit Tracker'!AJ$12&gt;DATE(2026,8,18), "", IF('Habit Tracker'!AJ22="✔", IF(ISNUMBER(AI22), AI22+1, 1), IF('Habit Tracker'!AJ22="—", IF(ISNUMBER(AI22), AI22, 0), 0)))</f>
        <v/>
      </c>
      <c r="AK22">
        <f>IF('Habit Tracker'!AK$12&gt;DATE(2026,8,18), "", IF('Habit Tracker'!AK22="✔", IF(ISNUMBER(AJ22), AJ22+1, 1), IF('Habit Tracker'!AK22="—", IF(ISNUMBER(AJ22), AJ22, 0), 0)))</f>
        <v/>
      </c>
      <c r="AL22">
        <f>IF('Habit Tracker'!AL$12&gt;DATE(2026,8,18), "", IF('Habit Tracker'!AL22="✔", IF(ISNUMBER(AK22), AK22+1, 1), IF('Habit Tracker'!AL22="—", IF(ISNUMBER(AK22), AK22, 0), 0)))</f>
        <v/>
      </c>
      <c r="AM22">
        <f>IF('Habit Tracker'!AM$12&gt;DATE(2026,8,18), "", IF('Habit Tracker'!AM22="✔", IF(ISNUMBER(AL22), AL22+1, 1), IF('Habit Tracker'!AM22="—", IF(ISNUMBER(AL22), AL22, 0), 0)))</f>
        <v/>
      </c>
      <c r="AN22">
        <f>IF('Habit Tracker'!AN$12&gt;DATE(2026,8,18), "", IF('Habit Tracker'!AN22="✔", IF(ISNUMBER(AM22), AM22+1, 1), IF('Habit Tracker'!AN22="—", IF(ISNUMBER(AM22), AM22, 0), 0)))</f>
        <v/>
      </c>
    </row>
    <row r="23">
      <c r="J23">
        <f>IF('Habit Tracker'!J$12&gt;DATE(2026,8,18), "", IF('Habit Tracker'!J23="✔", 1, 0))</f>
        <v/>
      </c>
      <c r="K23">
        <f>IF('Habit Tracker'!K$12&gt;DATE(2026,8,18), "", IF('Habit Tracker'!K23="✔", IF(ISNUMBER(J23), J23+1, 1), IF('Habit Tracker'!K23="—", IF(ISNUMBER(J23), J23, 0), 0)))</f>
        <v/>
      </c>
      <c r="L23">
        <f>IF('Habit Tracker'!L$12&gt;DATE(2026,8,18), "", IF('Habit Tracker'!L23="✔", IF(ISNUMBER(K23), K23+1, 1), IF('Habit Tracker'!L23="—", IF(ISNUMBER(K23), K23, 0), 0)))</f>
        <v/>
      </c>
      <c r="M23">
        <f>IF('Habit Tracker'!M$12&gt;DATE(2026,8,18), "", IF('Habit Tracker'!M23="✔", IF(ISNUMBER(L23), L23+1, 1), IF('Habit Tracker'!M23="—", IF(ISNUMBER(L23), L23, 0), 0)))</f>
        <v/>
      </c>
      <c r="N23">
        <f>IF('Habit Tracker'!N$12&gt;DATE(2026,8,18), "", IF('Habit Tracker'!N23="✔", IF(ISNUMBER(M23), M23+1, 1), IF('Habit Tracker'!N23="—", IF(ISNUMBER(M23), M23, 0), 0)))</f>
        <v/>
      </c>
      <c r="O23">
        <f>IF('Habit Tracker'!O$12&gt;DATE(2026,8,18), "", IF('Habit Tracker'!O23="✔", IF(ISNUMBER(N23), N23+1, 1), IF('Habit Tracker'!O23="—", IF(ISNUMBER(N23), N23, 0), 0)))</f>
        <v/>
      </c>
      <c r="P23">
        <f>IF('Habit Tracker'!P$12&gt;DATE(2026,8,18), "", IF('Habit Tracker'!P23="✔", IF(ISNUMBER(O23), O23+1, 1), IF('Habit Tracker'!P23="—", IF(ISNUMBER(O23), O23, 0), 0)))</f>
        <v/>
      </c>
      <c r="Q23">
        <f>IF('Habit Tracker'!Q$12&gt;DATE(2026,8,18), "", IF('Habit Tracker'!Q23="✔", IF(ISNUMBER(P23), P23+1, 1), IF('Habit Tracker'!Q23="—", IF(ISNUMBER(P23), P23, 0), 0)))</f>
        <v/>
      </c>
      <c r="R23">
        <f>IF('Habit Tracker'!R$12&gt;DATE(2026,8,18), "", IF('Habit Tracker'!R23="✔", IF(ISNUMBER(Q23), Q23+1, 1), IF('Habit Tracker'!R23="—", IF(ISNUMBER(Q23), Q23, 0), 0)))</f>
        <v/>
      </c>
      <c r="S23">
        <f>IF('Habit Tracker'!S$12&gt;DATE(2026,8,18), "", IF('Habit Tracker'!S23="✔", IF(ISNUMBER(R23), R23+1, 1), IF('Habit Tracker'!S23="—", IF(ISNUMBER(R23), R23, 0), 0)))</f>
        <v/>
      </c>
      <c r="T23">
        <f>IF('Habit Tracker'!T$12&gt;DATE(2026,8,18), "", IF('Habit Tracker'!T23="✔", IF(ISNUMBER(S23), S23+1, 1), IF('Habit Tracker'!T23="—", IF(ISNUMBER(S23), S23, 0), 0)))</f>
        <v/>
      </c>
      <c r="U23">
        <f>IF('Habit Tracker'!U$12&gt;DATE(2026,8,18), "", IF('Habit Tracker'!U23="✔", IF(ISNUMBER(T23), T23+1, 1), IF('Habit Tracker'!U23="—", IF(ISNUMBER(T23), T23, 0), 0)))</f>
        <v/>
      </c>
      <c r="V23">
        <f>IF('Habit Tracker'!V$12&gt;DATE(2026,8,18), "", IF('Habit Tracker'!V23="✔", IF(ISNUMBER(U23), U23+1, 1), IF('Habit Tracker'!V23="—", IF(ISNUMBER(U23), U23, 0), 0)))</f>
        <v/>
      </c>
      <c r="W23">
        <f>IF('Habit Tracker'!W$12&gt;DATE(2026,8,18), "", IF('Habit Tracker'!W23="✔", IF(ISNUMBER(V23), V23+1, 1), IF('Habit Tracker'!W23="—", IF(ISNUMBER(V23), V23, 0), 0)))</f>
        <v/>
      </c>
      <c r="X23">
        <f>IF('Habit Tracker'!X$12&gt;DATE(2026,8,18), "", IF('Habit Tracker'!X23="✔", IF(ISNUMBER(W23), W23+1, 1), IF('Habit Tracker'!X23="—", IF(ISNUMBER(W23), W23, 0), 0)))</f>
        <v/>
      </c>
      <c r="Y23">
        <f>IF('Habit Tracker'!Y$12&gt;DATE(2026,8,18), "", IF('Habit Tracker'!Y23="✔", IF(ISNUMBER(X23), X23+1, 1), IF('Habit Tracker'!Y23="—", IF(ISNUMBER(X23), X23, 0), 0)))</f>
        <v/>
      </c>
      <c r="Z23">
        <f>IF('Habit Tracker'!Z$12&gt;DATE(2026,8,18), "", IF('Habit Tracker'!Z23="✔", IF(ISNUMBER(Y23), Y23+1, 1), IF('Habit Tracker'!Z23="—", IF(ISNUMBER(Y23), Y23, 0), 0)))</f>
        <v/>
      </c>
      <c r="AA23">
        <f>IF('Habit Tracker'!AA$12&gt;DATE(2026,8,18), "", IF('Habit Tracker'!AA23="✔", IF(ISNUMBER(Z23), Z23+1, 1), IF('Habit Tracker'!AA23="—", IF(ISNUMBER(Z23), Z23, 0), 0)))</f>
        <v/>
      </c>
      <c r="AB23">
        <f>IF('Habit Tracker'!AB$12&gt;DATE(2026,8,18), "", IF('Habit Tracker'!AB23="✔", IF(ISNUMBER(AA23), AA23+1, 1), IF('Habit Tracker'!AB23="—", IF(ISNUMBER(AA23), AA23, 0), 0)))</f>
        <v/>
      </c>
      <c r="AC23">
        <f>IF('Habit Tracker'!AC$12&gt;DATE(2026,8,18), "", IF('Habit Tracker'!AC23="✔", IF(ISNUMBER(AB23), AB23+1, 1), IF('Habit Tracker'!AC23="—", IF(ISNUMBER(AB23), AB23, 0), 0)))</f>
        <v/>
      </c>
      <c r="AD23">
        <f>IF('Habit Tracker'!AD$12&gt;DATE(2026,8,18), "", IF('Habit Tracker'!AD23="✔", IF(ISNUMBER(AC23), AC23+1, 1), IF('Habit Tracker'!AD23="—", IF(ISNUMBER(AC23), AC23, 0), 0)))</f>
        <v/>
      </c>
      <c r="AE23">
        <f>IF('Habit Tracker'!AE$12&gt;DATE(2026,8,18), "", IF('Habit Tracker'!AE23="✔", IF(ISNUMBER(AD23), AD23+1, 1), IF('Habit Tracker'!AE23="—", IF(ISNUMBER(AD23), AD23, 0), 0)))</f>
        <v/>
      </c>
      <c r="AF23">
        <f>IF('Habit Tracker'!AF$12&gt;DATE(2026,8,18), "", IF('Habit Tracker'!AF23="✔", IF(ISNUMBER(AE23), AE23+1, 1), IF('Habit Tracker'!AF23="—", IF(ISNUMBER(AE23), AE23, 0), 0)))</f>
        <v/>
      </c>
      <c r="AG23">
        <f>IF('Habit Tracker'!AG$12&gt;DATE(2026,8,18), "", IF('Habit Tracker'!AG23="✔", IF(ISNUMBER(AF23), AF23+1, 1), IF('Habit Tracker'!AG23="—", IF(ISNUMBER(AF23), AF23, 0), 0)))</f>
        <v/>
      </c>
      <c r="AH23">
        <f>IF('Habit Tracker'!AH$12&gt;DATE(2026,8,18), "", IF('Habit Tracker'!AH23="✔", IF(ISNUMBER(AG23), AG23+1, 1), IF('Habit Tracker'!AH23="—", IF(ISNUMBER(AG23), AG23, 0), 0)))</f>
        <v/>
      </c>
      <c r="AI23">
        <f>IF('Habit Tracker'!AI$12&gt;DATE(2026,8,18), "", IF('Habit Tracker'!AI23="✔", IF(ISNUMBER(AH23), AH23+1, 1), IF('Habit Tracker'!AI23="—", IF(ISNUMBER(AH23), AH23, 0), 0)))</f>
        <v/>
      </c>
      <c r="AJ23">
        <f>IF('Habit Tracker'!AJ$12&gt;DATE(2026,8,18), "", IF('Habit Tracker'!AJ23="✔", IF(ISNUMBER(AI23), AI23+1, 1), IF('Habit Tracker'!AJ23="—", IF(ISNUMBER(AI23), AI23, 0), 0)))</f>
        <v/>
      </c>
      <c r="AK23">
        <f>IF('Habit Tracker'!AK$12&gt;DATE(2026,8,18), "", IF('Habit Tracker'!AK23="✔", IF(ISNUMBER(AJ23), AJ23+1, 1), IF('Habit Tracker'!AK23="—", IF(ISNUMBER(AJ23), AJ23, 0), 0)))</f>
        <v/>
      </c>
      <c r="AL23">
        <f>IF('Habit Tracker'!AL$12&gt;DATE(2026,8,18), "", IF('Habit Tracker'!AL23="✔", IF(ISNUMBER(AK23), AK23+1, 1), IF('Habit Tracker'!AL23="—", IF(ISNUMBER(AK23), AK23, 0), 0)))</f>
        <v/>
      </c>
      <c r="AM23">
        <f>IF('Habit Tracker'!AM$12&gt;DATE(2026,8,18), "", IF('Habit Tracker'!AM23="✔", IF(ISNUMBER(AL23), AL23+1, 1), IF('Habit Tracker'!AM23="—", IF(ISNUMBER(AL23), AL23, 0), 0)))</f>
        <v/>
      </c>
      <c r="AN23">
        <f>IF('Habit Tracker'!AN$12&gt;DATE(2026,8,18), "", IF('Habit Tracker'!AN23="✔", IF(ISNUMBER(AM23), AM23+1, 1), IF('Habit Tracker'!AN23="—", IF(ISNUMBER(AM23), AM23, 0), 0)))</f>
        <v/>
      </c>
    </row>
    <row r="24">
      <c r="J24">
        <f>IF('Habit Tracker'!J$12&gt;DATE(2026,8,18), "", IF('Habit Tracker'!J24="✔", 1, 0))</f>
        <v/>
      </c>
      <c r="K24">
        <f>IF('Habit Tracker'!K$12&gt;DATE(2026,8,18), "", IF('Habit Tracker'!K24="✔", IF(ISNUMBER(J24), J24+1, 1), IF('Habit Tracker'!K24="—", IF(ISNUMBER(J24), J24, 0), 0)))</f>
        <v/>
      </c>
      <c r="L24">
        <f>IF('Habit Tracker'!L$12&gt;DATE(2026,8,18), "", IF('Habit Tracker'!L24="✔", IF(ISNUMBER(K24), K24+1, 1), IF('Habit Tracker'!L24="—", IF(ISNUMBER(K24), K24, 0), 0)))</f>
        <v/>
      </c>
      <c r="M24">
        <f>IF('Habit Tracker'!M$12&gt;DATE(2026,8,18), "", IF('Habit Tracker'!M24="✔", IF(ISNUMBER(L24), L24+1, 1), IF('Habit Tracker'!M24="—", IF(ISNUMBER(L24), L24, 0), 0)))</f>
        <v/>
      </c>
      <c r="N24">
        <f>IF('Habit Tracker'!N$12&gt;DATE(2026,8,18), "", IF('Habit Tracker'!N24="✔", IF(ISNUMBER(M24), M24+1, 1), IF('Habit Tracker'!N24="—", IF(ISNUMBER(M24), M24, 0), 0)))</f>
        <v/>
      </c>
      <c r="O24">
        <f>IF('Habit Tracker'!O$12&gt;DATE(2026,8,18), "", IF('Habit Tracker'!O24="✔", IF(ISNUMBER(N24), N24+1, 1), IF('Habit Tracker'!O24="—", IF(ISNUMBER(N24), N24, 0), 0)))</f>
        <v/>
      </c>
      <c r="P24">
        <f>IF('Habit Tracker'!P$12&gt;DATE(2026,8,18), "", IF('Habit Tracker'!P24="✔", IF(ISNUMBER(O24), O24+1, 1), IF('Habit Tracker'!P24="—", IF(ISNUMBER(O24), O24, 0), 0)))</f>
        <v/>
      </c>
      <c r="Q24">
        <f>IF('Habit Tracker'!Q$12&gt;DATE(2026,8,18), "", IF('Habit Tracker'!Q24="✔", IF(ISNUMBER(P24), P24+1, 1), IF('Habit Tracker'!Q24="—", IF(ISNUMBER(P24), P24, 0), 0)))</f>
        <v/>
      </c>
      <c r="R24">
        <f>IF('Habit Tracker'!R$12&gt;DATE(2026,8,18), "", IF('Habit Tracker'!R24="✔", IF(ISNUMBER(Q24), Q24+1, 1), IF('Habit Tracker'!R24="—", IF(ISNUMBER(Q24), Q24, 0), 0)))</f>
        <v/>
      </c>
      <c r="S24">
        <f>IF('Habit Tracker'!S$12&gt;DATE(2026,8,18), "", IF('Habit Tracker'!S24="✔", IF(ISNUMBER(R24), R24+1, 1), IF('Habit Tracker'!S24="—", IF(ISNUMBER(R24), R24, 0), 0)))</f>
        <v/>
      </c>
      <c r="T24">
        <f>IF('Habit Tracker'!T$12&gt;DATE(2026,8,18), "", IF('Habit Tracker'!T24="✔", IF(ISNUMBER(S24), S24+1, 1), IF('Habit Tracker'!T24="—", IF(ISNUMBER(S24), S24, 0), 0)))</f>
        <v/>
      </c>
      <c r="U24">
        <f>IF('Habit Tracker'!U$12&gt;DATE(2026,8,18), "", IF('Habit Tracker'!U24="✔", IF(ISNUMBER(T24), T24+1, 1), IF('Habit Tracker'!U24="—", IF(ISNUMBER(T24), T24, 0), 0)))</f>
        <v/>
      </c>
      <c r="V24">
        <f>IF('Habit Tracker'!V$12&gt;DATE(2026,8,18), "", IF('Habit Tracker'!V24="✔", IF(ISNUMBER(U24), U24+1, 1), IF('Habit Tracker'!V24="—", IF(ISNUMBER(U24), U24, 0), 0)))</f>
        <v/>
      </c>
      <c r="W24">
        <f>IF('Habit Tracker'!W$12&gt;DATE(2026,8,18), "", IF('Habit Tracker'!W24="✔", IF(ISNUMBER(V24), V24+1, 1), IF('Habit Tracker'!W24="—", IF(ISNUMBER(V24), V24, 0), 0)))</f>
        <v/>
      </c>
      <c r="X24">
        <f>IF('Habit Tracker'!X$12&gt;DATE(2026,8,18), "", IF('Habit Tracker'!X24="✔", IF(ISNUMBER(W24), W24+1, 1), IF('Habit Tracker'!X24="—", IF(ISNUMBER(W24), W24, 0), 0)))</f>
        <v/>
      </c>
      <c r="Y24">
        <f>IF('Habit Tracker'!Y$12&gt;DATE(2026,8,18), "", IF('Habit Tracker'!Y24="✔", IF(ISNUMBER(X24), X24+1, 1), IF('Habit Tracker'!Y24="—", IF(ISNUMBER(X24), X24, 0), 0)))</f>
        <v/>
      </c>
      <c r="Z24">
        <f>IF('Habit Tracker'!Z$12&gt;DATE(2026,8,18), "", IF('Habit Tracker'!Z24="✔", IF(ISNUMBER(Y24), Y24+1, 1), IF('Habit Tracker'!Z24="—", IF(ISNUMBER(Y24), Y24, 0), 0)))</f>
        <v/>
      </c>
      <c r="AA24">
        <f>IF('Habit Tracker'!AA$12&gt;DATE(2026,8,18), "", IF('Habit Tracker'!AA24="✔", IF(ISNUMBER(Z24), Z24+1, 1), IF('Habit Tracker'!AA24="—", IF(ISNUMBER(Z24), Z24, 0), 0)))</f>
        <v/>
      </c>
      <c r="AB24">
        <f>IF('Habit Tracker'!AB$12&gt;DATE(2026,8,18), "", IF('Habit Tracker'!AB24="✔", IF(ISNUMBER(AA24), AA24+1, 1), IF('Habit Tracker'!AB24="—", IF(ISNUMBER(AA24), AA24, 0), 0)))</f>
        <v/>
      </c>
      <c r="AC24">
        <f>IF('Habit Tracker'!AC$12&gt;DATE(2026,8,18), "", IF('Habit Tracker'!AC24="✔", IF(ISNUMBER(AB24), AB24+1, 1), IF('Habit Tracker'!AC24="—", IF(ISNUMBER(AB24), AB24, 0), 0)))</f>
        <v/>
      </c>
      <c r="AD24">
        <f>IF('Habit Tracker'!AD$12&gt;DATE(2026,8,18), "", IF('Habit Tracker'!AD24="✔", IF(ISNUMBER(AC24), AC24+1, 1), IF('Habit Tracker'!AD24="—", IF(ISNUMBER(AC24), AC24, 0), 0)))</f>
        <v/>
      </c>
      <c r="AE24">
        <f>IF('Habit Tracker'!AE$12&gt;DATE(2026,8,18), "", IF('Habit Tracker'!AE24="✔", IF(ISNUMBER(AD24), AD24+1, 1), IF('Habit Tracker'!AE24="—", IF(ISNUMBER(AD24), AD24, 0), 0)))</f>
        <v/>
      </c>
      <c r="AF24">
        <f>IF('Habit Tracker'!AF$12&gt;DATE(2026,8,18), "", IF('Habit Tracker'!AF24="✔", IF(ISNUMBER(AE24), AE24+1, 1), IF('Habit Tracker'!AF24="—", IF(ISNUMBER(AE24), AE24, 0), 0)))</f>
        <v/>
      </c>
      <c r="AG24">
        <f>IF('Habit Tracker'!AG$12&gt;DATE(2026,8,18), "", IF('Habit Tracker'!AG24="✔", IF(ISNUMBER(AF24), AF24+1, 1), IF('Habit Tracker'!AG24="—", IF(ISNUMBER(AF24), AF24, 0), 0)))</f>
        <v/>
      </c>
      <c r="AH24">
        <f>IF('Habit Tracker'!AH$12&gt;DATE(2026,8,18), "", IF('Habit Tracker'!AH24="✔", IF(ISNUMBER(AG24), AG24+1, 1), IF('Habit Tracker'!AH24="—", IF(ISNUMBER(AG24), AG24, 0), 0)))</f>
        <v/>
      </c>
      <c r="AI24">
        <f>IF('Habit Tracker'!AI$12&gt;DATE(2026,8,18), "", IF('Habit Tracker'!AI24="✔", IF(ISNUMBER(AH24), AH24+1, 1), IF('Habit Tracker'!AI24="—", IF(ISNUMBER(AH24), AH24, 0), 0)))</f>
        <v/>
      </c>
      <c r="AJ24">
        <f>IF('Habit Tracker'!AJ$12&gt;DATE(2026,8,18), "", IF('Habit Tracker'!AJ24="✔", IF(ISNUMBER(AI24), AI24+1, 1), IF('Habit Tracker'!AJ24="—", IF(ISNUMBER(AI24), AI24, 0), 0)))</f>
        <v/>
      </c>
      <c r="AK24">
        <f>IF('Habit Tracker'!AK$12&gt;DATE(2026,8,18), "", IF('Habit Tracker'!AK24="✔", IF(ISNUMBER(AJ24), AJ24+1, 1), IF('Habit Tracker'!AK24="—", IF(ISNUMBER(AJ24), AJ24, 0), 0)))</f>
        <v/>
      </c>
      <c r="AL24">
        <f>IF('Habit Tracker'!AL$12&gt;DATE(2026,8,18), "", IF('Habit Tracker'!AL24="✔", IF(ISNUMBER(AK24), AK24+1, 1), IF('Habit Tracker'!AL24="—", IF(ISNUMBER(AK24), AK24, 0), 0)))</f>
        <v/>
      </c>
      <c r="AM24">
        <f>IF('Habit Tracker'!AM$12&gt;DATE(2026,8,18), "", IF('Habit Tracker'!AM24="✔", IF(ISNUMBER(AL24), AL24+1, 1), IF('Habit Tracker'!AM24="—", IF(ISNUMBER(AL24), AL24, 0), 0)))</f>
        <v/>
      </c>
      <c r="AN24">
        <f>IF('Habit Tracker'!AN$12&gt;DATE(2026,8,18), "", IF('Habit Tracker'!AN24="✔", IF(ISNUMBER(AM24), AM24+1, 1), IF('Habit Tracker'!AN24="—", IF(ISNUMBER(AM24), AM24, 0), 0)))</f>
        <v/>
      </c>
    </row>
    <row r="25">
      <c r="J25">
        <f>IF('Habit Tracker'!J$12&gt;DATE(2026,8,18), "", IF('Habit Tracker'!J25="✔", 1, 0))</f>
        <v/>
      </c>
      <c r="K25">
        <f>IF('Habit Tracker'!K$12&gt;DATE(2026,8,18), "", IF('Habit Tracker'!K25="✔", IF(ISNUMBER(J25), J25+1, 1), IF('Habit Tracker'!K25="—", IF(ISNUMBER(J25), J25, 0), 0)))</f>
        <v/>
      </c>
      <c r="L25">
        <f>IF('Habit Tracker'!L$12&gt;DATE(2026,8,18), "", IF('Habit Tracker'!L25="✔", IF(ISNUMBER(K25), K25+1, 1), IF('Habit Tracker'!L25="—", IF(ISNUMBER(K25), K25, 0), 0)))</f>
        <v/>
      </c>
      <c r="M25">
        <f>IF('Habit Tracker'!M$12&gt;DATE(2026,8,18), "", IF('Habit Tracker'!M25="✔", IF(ISNUMBER(L25), L25+1, 1), IF('Habit Tracker'!M25="—", IF(ISNUMBER(L25), L25, 0), 0)))</f>
        <v/>
      </c>
      <c r="N25">
        <f>IF('Habit Tracker'!N$12&gt;DATE(2026,8,18), "", IF('Habit Tracker'!N25="✔", IF(ISNUMBER(M25), M25+1, 1), IF('Habit Tracker'!N25="—", IF(ISNUMBER(M25), M25, 0), 0)))</f>
        <v/>
      </c>
      <c r="O25">
        <f>IF('Habit Tracker'!O$12&gt;DATE(2026,8,18), "", IF('Habit Tracker'!O25="✔", IF(ISNUMBER(N25), N25+1, 1), IF('Habit Tracker'!O25="—", IF(ISNUMBER(N25), N25, 0), 0)))</f>
        <v/>
      </c>
      <c r="P25">
        <f>IF('Habit Tracker'!P$12&gt;DATE(2026,8,18), "", IF('Habit Tracker'!P25="✔", IF(ISNUMBER(O25), O25+1, 1), IF('Habit Tracker'!P25="—", IF(ISNUMBER(O25), O25, 0), 0)))</f>
        <v/>
      </c>
      <c r="Q25">
        <f>IF('Habit Tracker'!Q$12&gt;DATE(2026,8,18), "", IF('Habit Tracker'!Q25="✔", IF(ISNUMBER(P25), P25+1, 1), IF('Habit Tracker'!Q25="—", IF(ISNUMBER(P25), P25, 0), 0)))</f>
        <v/>
      </c>
      <c r="R25">
        <f>IF('Habit Tracker'!R$12&gt;DATE(2026,8,18), "", IF('Habit Tracker'!R25="✔", IF(ISNUMBER(Q25), Q25+1, 1), IF('Habit Tracker'!R25="—", IF(ISNUMBER(Q25), Q25, 0), 0)))</f>
        <v/>
      </c>
      <c r="S25">
        <f>IF('Habit Tracker'!S$12&gt;DATE(2026,8,18), "", IF('Habit Tracker'!S25="✔", IF(ISNUMBER(R25), R25+1, 1), IF('Habit Tracker'!S25="—", IF(ISNUMBER(R25), R25, 0), 0)))</f>
        <v/>
      </c>
      <c r="T25">
        <f>IF('Habit Tracker'!T$12&gt;DATE(2026,8,18), "", IF('Habit Tracker'!T25="✔", IF(ISNUMBER(S25), S25+1, 1), IF('Habit Tracker'!T25="—", IF(ISNUMBER(S25), S25, 0), 0)))</f>
        <v/>
      </c>
      <c r="U25">
        <f>IF('Habit Tracker'!U$12&gt;DATE(2026,8,18), "", IF('Habit Tracker'!U25="✔", IF(ISNUMBER(T25), T25+1, 1), IF('Habit Tracker'!U25="—", IF(ISNUMBER(T25), T25, 0), 0)))</f>
        <v/>
      </c>
      <c r="V25">
        <f>IF('Habit Tracker'!V$12&gt;DATE(2026,8,18), "", IF('Habit Tracker'!V25="✔", IF(ISNUMBER(U25), U25+1, 1), IF('Habit Tracker'!V25="—", IF(ISNUMBER(U25), U25, 0), 0)))</f>
        <v/>
      </c>
      <c r="W25">
        <f>IF('Habit Tracker'!W$12&gt;DATE(2026,8,18), "", IF('Habit Tracker'!W25="✔", IF(ISNUMBER(V25), V25+1, 1), IF('Habit Tracker'!W25="—", IF(ISNUMBER(V25), V25, 0), 0)))</f>
        <v/>
      </c>
      <c r="X25">
        <f>IF('Habit Tracker'!X$12&gt;DATE(2026,8,18), "", IF('Habit Tracker'!X25="✔", IF(ISNUMBER(W25), W25+1, 1), IF('Habit Tracker'!X25="—", IF(ISNUMBER(W25), W25, 0), 0)))</f>
        <v/>
      </c>
      <c r="Y25">
        <f>IF('Habit Tracker'!Y$12&gt;DATE(2026,8,18), "", IF('Habit Tracker'!Y25="✔", IF(ISNUMBER(X25), X25+1, 1), IF('Habit Tracker'!Y25="—", IF(ISNUMBER(X25), X25, 0), 0)))</f>
        <v/>
      </c>
      <c r="Z25">
        <f>IF('Habit Tracker'!Z$12&gt;DATE(2026,8,18), "", IF('Habit Tracker'!Z25="✔", IF(ISNUMBER(Y25), Y25+1, 1), IF('Habit Tracker'!Z25="—", IF(ISNUMBER(Y25), Y25, 0), 0)))</f>
        <v/>
      </c>
      <c r="AA25">
        <f>IF('Habit Tracker'!AA$12&gt;DATE(2026,8,18), "", IF('Habit Tracker'!AA25="✔", IF(ISNUMBER(Z25), Z25+1, 1), IF('Habit Tracker'!AA25="—", IF(ISNUMBER(Z25), Z25, 0), 0)))</f>
        <v/>
      </c>
      <c r="AB25">
        <f>IF('Habit Tracker'!AB$12&gt;DATE(2026,8,18), "", IF('Habit Tracker'!AB25="✔", IF(ISNUMBER(AA25), AA25+1, 1), IF('Habit Tracker'!AB25="—", IF(ISNUMBER(AA25), AA25, 0), 0)))</f>
        <v/>
      </c>
      <c r="AC25">
        <f>IF('Habit Tracker'!AC$12&gt;DATE(2026,8,18), "", IF('Habit Tracker'!AC25="✔", IF(ISNUMBER(AB25), AB25+1, 1), IF('Habit Tracker'!AC25="—", IF(ISNUMBER(AB25), AB25, 0), 0)))</f>
        <v/>
      </c>
      <c r="AD25">
        <f>IF('Habit Tracker'!AD$12&gt;DATE(2026,8,18), "", IF('Habit Tracker'!AD25="✔", IF(ISNUMBER(AC25), AC25+1, 1), IF('Habit Tracker'!AD25="—", IF(ISNUMBER(AC25), AC25, 0), 0)))</f>
        <v/>
      </c>
      <c r="AE25">
        <f>IF('Habit Tracker'!AE$12&gt;DATE(2026,8,18), "", IF('Habit Tracker'!AE25="✔", IF(ISNUMBER(AD25), AD25+1, 1), IF('Habit Tracker'!AE25="—", IF(ISNUMBER(AD25), AD25, 0), 0)))</f>
        <v/>
      </c>
      <c r="AF25">
        <f>IF('Habit Tracker'!AF$12&gt;DATE(2026,8,18), "", IF('Habit Tracker'!AF25="✔", IF(ISNUMBER(AE25), AE25+1, 1), IF('Habit Tracker'!AF25="—", IF(ISNUMBER(AE25), AE25, 0), 0)))</f>
        <v/>
      </c>
      <c r="AG25">
        <f>IF('Habit Tracker'!AG$12&gt;DATE(2026,8,18), "", IF('Habit Tracker'!AG25="✔", IF(ISNUMBER(AF25), AF25+1, 1), IF('Habit Tracker'!AG25="—", IF(ISNUMBER(AF25), AF25, 0), 0)))</f>
        <v/>
      </c>
      <c r="AH25">
        <f>IF('Habit Tracker'!AH$12&gt;DATE(2026,8,18), "", IF('Habit Tracker'!AH25="✔", IF(ISNUMBER(AG25), AG25+1, 1), IF('Habit Tracker'!AH25="—", IF(ISNUMBER(AG25), AG25, 0), 0)))</f>
        <v/>
      </c>
      <c r="AI25">
        <f>IF('Habit Tracker'!AI$12&gt;DATE(2026,8,18), "", IF('Habit Tracker'!AI25="✔", IF(ISNUMBER(AH25), AH25+1, 1), IF('Habit Tracker'!AI25="—", IF(ISNUMBER(AH25), AH25, 0), 0)))</f>
        <v/>
      </c>
      <c r="AJ25">
        <f>IF('Habit Tracker'!AJ$12&gt;DATE(2026,8,18), "", IF('Habit Tracker'!AJ25="✔", IF(ISNUMBER(AI25), AI25+1, 1), IF('Habit Tracker'!AJ25="—", IF(ISNUMBER(AI25), AI25, 0), 0)))</f>
        <v/>
      </c>
      <c r="AK25">
        <f>IF('Habit Tracker'!AK$12&gt;DATE(2026,8,18), "", IF('Habit Tracker'!AK25="✔", IF(ISNUMBER(AJ25), AJ25+1, 1), IF('Habit Tracker'!AK25="—", IF(ISNUMBER(AJ25), AJ25, 0), 0)))</f>
        <v/>
      </c>
      <c r="AL25">
        <f>IF('Habit Tracker'!AL$12&gt;DATE(2026,8,18), "", IF('Habit Tracker'!AL25="✔", IF(ISNUMBER(AK25), AK25+1, 1), IF('Habit Tracker'!AL25="—", IF(ISNUMBER(AK25), AK25, 0), 0)))</f>
        <v/>
      </c>
      <c r="AM25">
        <f>IF('Habit Tracker'!AM$12&gt;DATE(2026,8,18), "", IF('Habit Tracker'!AM25="✔", IF(ISNUMBER(AL25), AL25+1, 1), IF('Habit Tracker'!AM25="—", IF(ISNUMBER(AL25), AL25, 0), 0)))</f>
        <v/>
      </c>
      <c r="AN25">
        <f>IF('Habit Tracker'!AN$12&gt;DATE(2026,8,18), "", IF('Habit Tracker'!AN25="✔", IF(ISNUMBER(AM25), AM25+1, 1), IF('Habit Tracker'!AN25="—", IF(ISNUMBER(AM25), AM25, 0), 0)))</f>
        <v/>
      </c>
    </row>
    <row r="26">
      <c r="J26">
        <f>IF('Habit Tracker'!J$12&gt;DATE(2026,8,18), "", IF('Habit Tracker'!J26="✔", 1, 0))</f>
        <v/>
      </c>
      <c r="K26">
        <f>IF('Habit Tracker'!K$12&gt;DATE(2026,8,18), "", IF('Habit Tracker'!K26="✔", IF(ISNUMBER(J26), J26+1, 1), IF('Habit Tracker'!K26="—", IF(ISNUMBER(J26), J26, 0), 0)))</f>
        <v/>
      </c>
      <c r="L26">
        <f>IF('Habit Tracker'!L$12&gt;DATE(2026,8,18), "", IF('Habit Tracker'!L26="✔", IF(ISNUMBER(K26), K26+1, 1), IF('Habit Tracker'!L26="—", IF(ISNUMBER(K26), K26, 0), 0)))</f>
        <v/>
      </c>
      <c r="M26">
        <f>IF('Habit Tracker'!M$12&gt;DATE(2026,8,18), "", IF('Habit Tracker'!M26="✔", IF(ISNUMBER(L26), L26+1, 1), IF('Habit Tracker'!M26="—", IF(ISNUMBER(L26), L26, 0), 0)))</f>
        <v/>
      </c>
      <c r="N26">
        <f>IF('Habit Tracker'!N$12&gt;DATE(2026,8,18), "", IF('Habit Tracker'!N26="✔", IF(ISNUMBER(M26), M26+1, 1), IF('Habit Tracker'!N26="—", IF(ISNUMBER(M26), M26, 0), 0)))</f>
        <v/>
      </c>
      <c r="O26">
        <f>IF('Habit Tracker'!O$12&gt;DATE(2026,8,18), "", IF('Habit Tracker'!O26="✔", IF(ISNUMBER(N26), N26+1, 1), IF('Habit Tracker'!O26="—", IF(ISNUMBER(N26), N26, 0), 0)))</f>
        <v/>
      </c>
      <c r="P26">
        <f>IF('Habit Tracker'!P$12&gt;DATE(2026,8,18), "", IF('Habit Tracker'!P26="✔", IF(ISNUMBER(O26), O26+1, 1), IF('Habit Tracker'!P26="—", IF(ISNUMBER(O26), O26, 0), 0)))</f>
        <v/>
      </c>
      <c r="Q26">
        <f>IF('Habit Tracker'!Q$12&gt;DATE(2026,8,18), "", IF('Habit Tracker'!Q26="✔", IF(ISNUMBER(P26), P26+1, 1), IF('Habit Tracker'!Q26="—", IF(ISNUMBER(P26), P26, 0), 0)))</f>
        <v/>
      </c>
      <c r="R26">
        <f>IF('Habit Tracker'!R$12&gt;DATE(2026,8,18), "", IF('Habit Tracker'!R26="✔", IF(ISNUMBER(Q26), Q26+1, 1), IF('Habit Tracker'!R26="—", IF(ISNUMBER(Q26), Q26, 0), 0)))</f>
        <v/>
      </c>
      <c r="S26">
        <f>IF('Habit Tracker'!S$12&gt;DATE(2026,8,18), "", IF('Habit Tracker'!S26="✔", IF(ISNUMBER(R26), R26+1, 1), IF('Habit Tracker'!S26="—", IF(ISNUMBER(R26), R26, 0), 0)))</f>
        <v/>
      </c>
      <c r="T26">
        <f>IF('Habit Tracker'!T$12&gt;DATE(2026,8,18), "", IF('Habit Tracker'!T26="✔", IF(ISNUMBER(S26), S26+1, 1), IF('Habit Tracker'!T26="—", IF(ISNUMBER(S26), S26, 0), 0)))</f>
        <v/>
      </c>
      <c r="U26">
        <f>IF('Habit Tracker'!U$12&gt;DATE(2026,8,18), "", IF('Habit Tracker'!U26="✔", IF(ISNUMBER(T26), T26+1, 1), IF('Habit Tracker'!U26="—", IF(ISNUMBER(T26), T26, 0), 0)))</f>
        <v/>
      </c>
      <c r="V26">
        <f>IF('Habit Tracker'!V$12&gt;DATE(2026,8,18), "", IF('Habit Tracker'!V26="✔", IF(ISNUMBER(U26), U26+1, 1), IF('Habit Tracker'!V26="—", IF(ISNUMBER(U26), U26, 0), 0)))</f>
        <v/>
      </c>
      <c r="W26">
        <f>IF('Habit Tracker'!W$12&gt;DATE(2026,8,18), "", IF('Habit Tracker'!W26="✔", IF(ISNUMBER(V26), V26+1, 1), IF('Habit Tracker'!W26="—", IF(ISNUMBER(V26), V26, 0), 0)))</f>
        <v/>
      </c>
      <c r="X26">
        <f>IF('Habit Tracker'!X$12&gt;DATE(2026,8,18), "", IF('Habit Tracker'!X26="✔", IF(ISNUMBER(W26), W26+1, 1), IF('Habit Tracker'!X26="—", IF(ISNUMBER(W26), W26, 0), 0)))</f>
        <v/>
      </c>
      <c r="Y26">
        <f>IF('Habit Tracker'!Y$12&gt;DATE(2026,8,18), "", IF('Habit Tracker'!Y26="✔", IF(ISNUMBER(X26), X26+1, 1), IF('Habit Tracker'!Y26="—", IF(ISNUMBER(X26), X26, 0), 0)))</f>
        <v/>
      </c>
      <c r="Z26">
        <f>IF('Habit Tracker'!Z$12&gt;DATE(2026,8,18), "", IF('Habit Tracker'!Z26="✔", IF(ISNUMBER(Y26), Y26+1, 1), IF('Habit Tracker'!Z26="—", IF(ISNUMBER(Y26), Y26, 0), 0)))</f>
        <v/>
      </c>
      <c r="AA26">
        <f>IF('Habit Tracker'!AA$12&gt;DATE(2026,8,18), "", IF('Habit Tracker'!AA26="✔", IF(ISNUMBER(Z26), Z26+1, 1), IF('Habit Tracker'!AA26="—", IF(ISNUMBER(Z26), Z26, 0), 0)))</f>
        <v/>
      </c>
      <c r="AB26">
        <f>IF('Habit Tracker'!AB$12&gt;DATE(2026,8,18), "", IF('Habit Tracker'!AB26="✔", IF(ISNUMBER(AA26), AA26+1, 1), IF('Habit Tracker'!AB26="—", IF(ISNUMBER(AA26), AA26, 0), 0)))</f>
        <v/>
      </c>
      <c r="AC26">
        <f>IF('Habit Tracker'!AC$12&gt;DATE(2026,8,18), "", IF('Habit Tracker'!AC26="✔", IF(ISNUMBER(AB26), AB26+1, 1), IF('Habit Tracker'!AC26="—", IF(ISNUMBER(AB26), AB26, 0), 0)))</f>
        <v/>
      </c>
      <c r="AD26">
        <f>IF('Habit Tracker'!AD$12&gt;DATE(2026,8,18), "", IF('Habit Tracker'!AD26="✔", IF(ISNUMBER(AC26), AC26+1, 1), IF('Habit Tracker'!AD26="—", IF(ISNUMBER(AC26), AC26, 0), 0)))</f>
        <v/>
      </c>
      <c r="AE26">
        <f>IF('Habit Tracker'!AE$12&gt;DATE(2026,8,18), "", IF('Habit Tracker'!AE26="✔", IF(ISNUMBER(AD26), AD26+1, 1), IF('Habit Tracker'!AE26="—", IF(ISNUMBER(AD26), AD26, 0), 0)))</f>
        <v/>
      </c>
      <c r="AF26">
        <f>IF('Habit Tracker'!AF$12&gt;DATE(2026,8,18), "", IF('Habit Tracker'!AF26="✔", IF(ISNUMBER(AE26), AE26+1, 1), IF('Habit Tracker'!AF26="—", IF(ISNUMBER(AE26), AE26, 0), 0)))</f>
        <v/>
      </c>
      <c r="AG26">
        <f>IF('Habit Tracker'!AG$12&gt;DATE(2026,8,18), "", IF('Habit Tracker'!AG26="✔", IF(ISNUMBER(AF26), AF26+1, 1), IF('Habit Tracker'!AG26="—", IF(ISNUMBER(AF26), AF26, 0), 0)))</f>
        <v/>
      </c>
      <c r="AH26">
        <f>IF('Habit Tracker'!AH$12&gt;DATE(2026,8,18), "", IF('Habit Tracker'!AH26="✔", IF(ISNUMBER(AG26), AG26+1, 1), IF('Habit Tracker'!AH26="—", IF(ISNUMBER(AG26), AG26, 0), 0)))</f>
        <v/>
      </c>
      <c r="AI26">
        <f>IF('Habit Tracker'!AI$12&gt;DATE(2026,8,18), "", IF('Habit Tracker'!AI26="✔", IF(ISNUMBER(AH26), AH26+1, 1), IF('Habit Tracker'!AI26="—", IF(ISNUMBER(AH26), AH26, 0), 0)))</f>
        <v/>
      </c>
      <c r="AJ26">
        <f>IF('Habit Tracker'!AJ$12&gt;DATE(2026,8,18), "", IF('Habit Tracker'!AJ26="✔", IF(ISNUMBER(AI26), AI26+1, 1), IF('Habit Tracker'!AJ26="—", IF(ISNUMBER(AI26), AI26, 0), 0)))</f>
        <v/>
      </c>
      <c r="AK26">
        <f>IF('Habit Tracker'!AK$12&gt;DATE(2026,8,18), "", IF('Habit Tracker'!AK26="✔", IF(ISNUMBER(AJ26), AJ26+1, 1), IF('Habit Tracker'!AK26="—", IF(ISNUMBER(AJ26), AJ26, 0), 0)))</f>
        <v/>
      </c>
      <c r="AL26">
        <f>IF('Habit Tracker'!AL$12&gt;DATE(2026,8,18), "", IF('Habit Tracker'!AL26="✔", IF(ISNUMBER(AK26), AK26+1, 1), IF('Habit Tracker'!AL26="—", IF(ISNUMBER(AK26), AK26, 0), 0)))</f>
        <v/>
      </c>
      <c r="AM26">
        <f>IF('Habit Tracker'!AM$12&gt;DATE(2026,8,18), "", IF('Habit Tracker'!AM26="✔", IF(ISNUMBER(AL26), AL26+1, 1), IF('Habit Tracker'!AM26="—", IF(ISNUMBER(AL26), AL26, 0), 0)))</f>
        <v/>
      </c>
      <c r="AN26">
        <f>IF('Habit Tracker'!AN$12&gt;DATE(2026,8,18), "", IF('Habit Tracker'!AN26="✔", IF(ISNUMBER(AM26), AM26+1, 1), IF('Habit Tracker'!AN26="—", IF(ISNUMBER(AM26), AM26, 0), 0)))</f>
        <v/>
      </c>
    </row>
    <row r="27">
      <c r="J27">
        <f>IF('Habit Tracker'!J$12&gt;DATE(2026,8,18), "", IF('Habit Tracker'!J27="✔", 1, 0))</f>
        <v/>
      </c>
      <c r="K27">
        <f>IF('Habit Tracker'!K$12&gt;DATE(2026,8,18), "", IF('Habit Tracker'!K27="✔", IF(ISNUMBER(J27), J27+1, 1), IF('Habit Tracker'!K27="—", IF(ISNUMBER(J27), J27, 0), 0)))</f>
        <v/>
      </c>
      <c r="L27">
        <f>IF('Habit Tracker'!L$12&gt;DATE(2026,8,18), "", IF('Habit Tracker'!L27="✔", IF(ISNUMBER(K27), K27+1, 1), IF('Habit Tracker'!L27="—", IF(ISNUMBER(K27), K27, 0), 0)))</f>
        <v/>
      </c>
      <c r="M27">
        <f>IF('Habit Tracker'!M$12&gt;DATE(2026,8,18), "", IF('Habit Tracker'!M27="✔", IF(ISNUMBER(L27), L27+1, 1), IF('Habit Tracker'!M27="—", IF(ISNUMBER(L27), L27, 0), 0)))</f>
        <v/>
      </c>
      <c r="N27">
        <f>IF('Habit Tracker'!N$12&gt;DATE(2026,8,18), "", IF('Habit Tracker'!N27="✔", IF(ISNUMBER(M27), M27+1, 1), IF('Habit Tracker'!N27="—", IF(ISNUMBER(M27), M27, 0), 0)))</f>
        <v/>
      </c>
      <c r="O27">
        <f>IF('Habit Tracker'!O$12&gt;DATE(2026,8,18), "", IF('Habit Tracker'!O27="✔", IF(ISNUMBER(N27), N27+1, 1), IF('Habit Tracker'!O27="—", IF(ISNUMBER(N27), N27, 0), 0)))</f>
        <v/>
      </c>
      <c r="P27">
        <f>IF('Habit Tracker'!P$12&gt;DATE(2026,8,18), "", IF('Habit Tracker'!P27="✔", IF(ISNUMBER(O27), O27+1, 1), IF('Habit Tracker'!P27="—", IF(ISNUMBER(O27), O27, 0), 0)))</f>
        <v/>
      </c>
      <c r="Q27">
        <f>IF('Habit Tracker'!Q$12&gt;DATE(2026,8,18), "", IF('Habit Tracker'!Q27="✔", IF(ISNUMBER(P27), P27+1, 1), IF('Habit Tracker'!Q27="—", IF(ISNUMBER(P27), P27, 0), 0)))</f>
        <v/>
      </c>
      <c r="R27">
        <f>IF('Habit Tracker'!R$12&gt;DATE(2026,8,18), "", IF('Habit Tracker'!R27="✔", IF(ISNUMBER(Q27), Q27+1, 1), IF('Habit Tracker'!R27="—", IF(ISNUMBER(Q27), Q27, 0), 0)))</f>
        <v/>
      </c>
      <c r="S27">
        <f>IF('Habit Tracker'!S$12&gt;DATE(2026,8,18), "", IF('Habit Tracker'!S27="✔", IF(ISNUMBER(R27), R27+1, 1), IF('Habit Tracker'!S27="—", IF(ISNUMBER(R27), R27, 0), 0)))</f>
        <v/>
      </c>
      <c r="T27">
        <f>IF('Habit Tracker'!T$12&gt;DATE(2026,8,18), "", IF('Habit Tracker'!T27="✔", IF(ISNUMBER(S27), S27+1, 1), IF('Habit Tracker'!T27="—", IF(ISNUMBER(S27), S27, 0), 0)))</f>
        <v/>
      </c>
      <c r="U27">
        <f>IF('Habit Tracker'!U$12&gt;DATE(2026,8,18), "", IF('Habit Tracker'!U27="✔", IF(ISNUMBER(T27), T27+1, 1), IF('Habit Tracker'!U27="—", IF(ISNUMBER(T27), T27, 0), 0)))</f>
        <v/>
      </c>
      <c r="V27">
        <f>IF('Habit Tracker'!V$12&gt;DATE(2026,8,18), "", IF('Habit Tracker'!V27="✔", IF(ISNUMBER(U27), U27+1, 1), IF('Habit Tracker'!V27="—", IF(ISNUMBER(U27), U27, 0), 0)))</f>
        <v/>
      </c>
      <c r="W27">
        <f>IF('Habit Tracker'!W$12&gt;DATE(2026,8,18), "", IF('Habit Tracker'!W27="✔", IF(ISNUMBER(V27), V27+1, 1), IF('Habit Tracker'!W27="—", IF(ISNUMBER(V27), V27, 0), 0)))</f>
        <v/>
      </c>
      <c r="X27">
        <f>IF('Habit Tracker'!X$12&gt;DATE(2026,8,18), "", IF('Habit Tracker'!X27="✔", IF(ISNUMBER(W27), W27+1, 1), IF('Habit Tracker'!X27="—", IF(ISNUMBER(W27), W27, 0), 0)))</f>
        <v/>
      </c>
      <c r="Y27">
        <f>IF('Habit Tracker'!Y$12&gt;DATE(2026,8,18), "", IF('Habit Tracker'!Y27="✔", IF(ISNUMBER(X27), X27+1, 1), IF('Habit Tracker'!Y27="—", IF(ISNUMBER(X27), X27, 0), 0)))</f>
        <v/>
      </c>
      <c r="Z27">
        <f>IF('Habit Tracker'!Z$12&gt;DATE(2026,8,18), "", IF('Habit Tracker'!Z27="✔", IF(ISNUMBER(Y27), Y27+1, 1), IF('Habit Tracker'!Z27="—", IF(ISNUMBER(Y27), Y27, 0), 0)))</f>
        <v/>
      </c>
      <c r="AA27">
        <f>IF('Habit Tracker'!AA$12&gt;DATE(2026,8,18), "", IF('Habit Tracker'!AA27="✔", IF(ISNUMBER(Z27), Z27+1, 1), IF('Habit Tracker'!AA27="—", IF(ISNUMBER(Z27), Z27, 0), 0)))</f>
        <v/>
      </c>
      <c r="AB27">
        <f>IF('Habit Tracker'!AB$12&gt;DATE(2026,8,18), "", IF('Habit Tracker'!AB27="✔", IF(ISNUMBER(AA27), AA27+1, 1), IF('Habit Tracker'!AB27="—", IF(ISNUMBER(AA27), AA27, 0), 0)))</f>
        <v/>
      </c>
      <c r="AC27">
        <f>IF('Habit Tracker'!AC$12&gt;DATE(2026,8,18), "", IF('Habit Tracker'!AC27="✔", IF(ISNUMBER(AB27), AB27+1, 1), IF('Habit Tracker'!AC27="—", IF(ISNUMBER(AB27), AB27, 0), 0)))</f>
        <v/>
      </c>
      <c r="AD27">
        <f>IF('Habit Tracker'!AD$12&gt;DATE(2026,8,18), "", IF('Habit Tracker'!AD27="✔", IF(ISNUMBER(AC27), AC27+1, 1), IF('Habit Tracker'!AD27="—", IF(ISNUMBER(AC27), AC27, 0), 0)))</f>
        <v/>
      </c>
      <c r="AE27">
        <f>IF('Habit Tracker'!AE$12&gt;DATE(2026,8,18), "", IF('Habit Tracker'!AE27="✔", IF(ISNUMBER(AD27), AD27+1, 1), IF('Habit Tracker'!AE27="—", IF(ISNUMBER(AD27), AD27, 0), 0)))</f>
        <v/>
      </c>
      <c r="AF27">
        <f>IF('Habit Tracker'!AF$12&gt;DATE(2026,8,18), "", IF('Habit Tracker'!AF27="✔", IF(ISNUMBER(AE27), AE27+1, 1), IF('Habit Tracker'!AF27="—", IF(ISNUMBER(AE27), AE27, 0), 0)))</f>
        <v/>
      </c>
      <c r="AG27">
        <f>IF('Habit Tracker'!AG$12&gt;DATE(2026,8,18), "", IF('Habit Tracker'!AG27="✔", IF(ISNUMBER(AF27), AF27+1, 1), IF('Habit Tracker'!AG27="—", IF(ISNUMBER(AF27), AF27, 0), 0)))</f>
        <v/>
      </c>
      <c r="AH27">
        <f>IF('Habit Tracker'!AH$12&gt;DATE(2026,8,18), "", IF('Habit Tracker'!AH27="✔", IF(ISNUMBER(AG27), AG27+1, 1), IF('Habit Tracker'!AH27="—", IF(ISNUMBER(AG27), AG27, 0), 0)))</f>
        <v/>
      </c>
      <c r="AI27">
        <f>IF('Habit Tracker'!AI$12&gt;DATE(2026,8,18), "", IF('Habit Tracker'!AI27="✔", IF(ISNUMBER(AH27), AH27+1, 1), IF('Habit Tracker'!AI27="—", IF(ISNUMBER(AH27), AH27, 0), 0)))</f>
        <v/>
      </c>
      <c r="AJ27">
        <f>IF('Habit Tracker'!AJ$12&gt;DATE(2026,8,18), "", IF('Habit Tracker'!AJ27="✔", IF(ISNUMBER(AI27), AI27+1, 1), IF('Habit Tracker'!AJ27="—", IF(ISNUMBER(AI27), AI27, 0), 0)))</f>
        <v/>
      </c>
      <c r="AK27">
        <f>IF('Habit Tracker'!AK$12&gt;DATE(2026,8,18), "", IF('Habit Tracker'!AK27="✔", IF(ISNUMBER(AJ27), AJ27+1, 1), IF('Habit Tracker'!AK27="—", IF(ISNUMBER(AJ27), AJ27, 0), 0)))</f>
        <v/>
      </c>
      <c r="AL27">
        <f>IF('Habit Tracker'!AL$12&gt;DATE(2026,8,18), "", IF('Habit Tracker'!AL27="✔", IF(ISNUMBER(AK27), AK27+1, 1), IF('Habit Tracker'!AL27="—", IF(ISNUMBER(AK27), AK27, 0), 0)))</f>
        <v/>
      </c>
      <c r="AM27">
        <f>IF('Habit Tracker'!AM$12&gt;DATE(2026,8,18), "", IF('Habit Tracker'!AM27="✔", IF(ISNUMBER(AL27), AL27+1, 1), IF('Habit Tracker'!AM27="—", IF(ISNUMBER(AL27), AL27, 0), 0)))</f>
        <v/>
      </c>
      <c r="AN27">
        <f>IF('Habit Tracker'!AN$12&gt;DATE(2026,8,18), "", IF('Habit Tracker'!AN27="✔", IF(ISNUMBER(AM27), AM27+1, 1), IF('Habit Tracker'!AN27="—", IF(ISNUMBER(AM27), AM27, 0), 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34" customWidth="1" min="3" max="3"/>
    <col width="8" customWidth="1" min="4" max="4"/>
    <col width="4" customWidth="1" min="5" max="5"/>
    <col width="22" customWidth="1" min="6" max="6"/>
    <col width="8" customWidth="1" min="7" max="7"/>
    <col width="15" customWidth="1" min="8" max="8"/>
    <col width="45" customWidth="1" min="9" max="9"/>
  </cols>
  <sheetData>
    <row r="1">
      <c r="A1" s="1" t="inlineStr">
        <is>
          <t>Generated 2026-08-19 | v2.0</t>
        </is>
      </c>
    </row>
    <row r="2">
      <c r="B2" s="55" t="inlineStr">
        <is>
          <t>SAGE HABIT TRACKER — MILESTONES &amp; REWARDS</t>
        </is>
      </c>
      <c r="C2" s="56" t="n"/>
      <c r="D2" s="56" t="n"/>
      <c r="E2" s="56" t="n"/>
      <c r="F2" s="56" t="n"/>
      <c r="G2" s="56" t="n"/>
      <c r="H2" s="56" t="n"/>
      <c r="I2" s="56" t="n"/>
    </row>
    <row r="3">
      <c r="B3" s="56" t="n"/>
      <c r="C3" s="56" t="n"/>
      <c r="D3" s="56" t="n"/>
      <c r="E3" s="56" t="n"/>
      <c r="F3" s="56" t="n"/>
      <c r="G3" s="56" t="n"/>
      <c r="H3" s="56" t="n"/>
      <c r="I3" s="56" t="n"/>
    </row>
    <row r="5">
      <c r="B5" s="57" t="inlineStr">
        <is>
          <t>LEVELING &amp; PROGRESSION</t>
        </is>
      </c>
      <c r="C5" s="58" t="n"/>
      <c r="D5" s="58" t="n"/>
      <c r="F5" s="57" t="inlineStr">
        <is>
          <t>AUTOMATED MILESTONES &amp; BADGES</t>
        </is>
      </c>
      <c r="G5" s="58" t="n"/>
      <c r="H5" s="58" t="n"/>
      <c r="I5" s="58" t="n"/>
    </row>
    <row r="6">
      <c r="B6" s="59" t="inlineStr">
        <is>
          <t>Current Level</t>
        </is>
      </c>
      <c r="C6" s="60">
        <f>IF(C7&lt;250, "Level 1: Novice Tracker ⚔", IF(C7&lt;500, "Level 2: Habit Builder 🛡", IF(C7&lt;1000, "Level 3: Consistency Master 🔮", "Level 4: Legendary Achiever 🏆")))</f>
        <v/>
      </c>
      <c r="D6" s="61" t="n"/>
      <c r="F6" s="59" t="inlineStr">
        <is>
          <t>First Steps</t>
        </is>
      </c>
      <c r="G6" s="62" t="inlineStr">
        <is>
          <t>🌱</t>
        </is>
      </c>
      <c r="H6" s="62">
        <f>IF('Habit Tracker'!J6&gt;=1, "🔓 UNLOCKED", "🔒 LOCKED")</f>
        <v/>
      </c>
      <c r="I6" s="63" t="inlineStr">
        <is>
          <t>Earned by completing your very first habit check-in.</t>
        </is>
      </c>
    </row>
    <row r="7">
      <c r="B7" s="59" t="inlineStr">
        <is>
          <t>Total XP Earned</t>
        </is>
      </c>
      <c r="C7" s="60">
        <f>'Habit Tracker'!J6 * 10</f>
        <v/>
      </c>
      <c r="D7" s="61" t="inlineStr">
        <is>
          <t>XP</t>
        </is>
      </c>
      <c r="F7" s="59" t="inlineStr">
        <is>
          <t>Week on Fire</t>
        </is>
      </c>
      <c r="G7" s="62" t="inlineStr">
        <is>
          <t>🔥</t>
        </is>
      </c>
      <c r="H7" s="62">
        <f>IF('Habit Tracker'!F6&gt;=7, "🔓 UNLOCKED", "🔒 LOCKED")</f>
        <v/>
      </c>
      <c r="I7" s="63" t="inlineStr">
        <is>
          <t>Earned by achieving an active streak of 7+ days.</t>
        </is>
      </c>
    </row>
    <row r="8">
      <c r="B8" s="59" t="inlineStr">
        <is>
          <t>Next Level XP Target</t>
        </is>
      </c>
      <c r="C8" s="62">
        <f>IF(C7&lt;250, 250, IF(C7&lt;500, 500, IF(C7&lt;1000, 1000, "MAXED")))</f>
        <v/>
      </c>
      <c r="D8" s="61" t="inlineStr">
        <is>
          <t>XP</t>
        </is>
      </c>
      <c r="F8" s="59" t="inlineStr">
        <is>
          <t>Halfway Hero</t>
        </is>
      </c>
      <c r="G8" s="62" t="inlineStr">
        <is>
          <t>⚡</t>
        </is>
      </c>
      <c r="H8" s="62">
        <f>IF('Habit Tracker'!B6&gt;=0.5, "🔓 UNLOCKED", "🔒 LOCKED")</f>
        <v/>
      </c>
      <c r="I8" s="63" t="inlineStr">
        <is>
          <t>Earned by reaching an overall success rate of 50%+.</t>
        </is>
      </c>
    </row>
    <row r="9">
      <c r="B9" s="59" t="inlineStr">
        <is>
          <t>Level Progress %</t>
        </is>
      </c>
      <c r="C9" s="64">
        <f>IF(ISNUMBER(C8), C7/C8, 1.0)</f>
        <v/>
      </c>
      <c r="D9" s="61" t="n"/>
      <c r="F9" s="59" t="inlineStr">
        <is>
          <t>Century Club</t>
        </is>
      </c>
      <c r="G9" s="62" t="inlineStr">
        <is>
          <t>💯</t>
        </is>
      </c>
      <c r="H9" s="62">
        <f>IF('Habit Tracker'!J6&gt;=100, "🔓 UNLOCKED", "🔒 LOCKED")</f>
        <v/>
      </c>
      <c r="I9" s="63" t="inlineStr">
        <is>
          <t>Earned by logging 100+ total habit check-ins.</t>
        </is>
      </c>
    </row>
    <row r="10">
      <c r="B10" s="59" t="inlineStr">
        <is>
          <t>XP Progress Bar</t>
        </is>
      </c>
      <c r="C10" s="60">
        <f>REPT("■", ROUND(C9*10,0)) &amp; REPT("░", 10 - ROUND(C9*10,0))</f>
        <v/>
      </c>
      <c r="D10" s="61" t="n"/>
      <c r="F10" s="59" t="inlineStr">
        <is>
          <t>Mind &amp; Body Master</t>
        </is>
      </c>
      <c r="G10" s="62" t="inlineStr">
        <is>
          <t>🧘</t>
        </is>
      </c>
      <c r="H10" s="62">
        <f>IF(SUMIF('Habit Tracker'!C13:C27, "Health", 'Habit Tracker'!F13:F27)&gt;=50, "🔓 UNLOCKED", "🔒 LOCKED")</f>
        <v/>
      </c>
      <c r="I10" s="63" t="inlineStr">
        <is>
          <t>Earned by completing 50+ health-focused habits.</t>
        </is>
      </c>
    </row>
    <row r="11">
      <c r="B11" s="65" t="inlineStr">
        <is>
          <t>Earn 10 XP for every completed habit check-in! Levels unlock at 250 XP, 500 XP, and 1,000 XP.</t>
        </is>
      </c>
      <c r="C11" s="66" t="n"/>
      <c r="D11" s="66" t="n"/>
      <c r="F11" s="59" t="inlineStr">
        <is>
          <t>Ultimate Legend</t>
        </is>
      </c>
      <c r="G11" s="62" t="inlineStr">
        <is>
          <t>👑</t>
        </is>
      </c>
      <c r="H11" s="62">
        <f>IF(AND('Habit Tracker'!B6&gt;=0.8, 'Habit Tracker'!F6&gt;=14), "🔓 UNLOCKED", "🔒 LOCKED")</f>
        <v/>
      </c>
      <c r="I11" s="63" t="inlineStr">
        <is>
          <t>Earned by holding an 80%+ success rate &amp; 14-day streak.</t>
        </is>
      </c>
    </row>
    <row r="14">
      <c r="B14" s="67" t="inlineStr">
        <is>
          <t>PERSONAL INCENTIVES SYSTEM (Self-Contract Rewards)</t>
        </is>
      </c>
      <c r="C14" s="56" t="n"/>
      <c r="D14" s="56" t="n"/>
      <c r="E14" s="56" t="n"/>
      <c r="F14" s="56" t="n"/>
      <c r="G14" s="56" t="n"/>
      <c r="H14" s="56" t="n"/>
      <c r="I14" s="56" t="n"/>
    </row>
    <row r="15">
      <c r="B15" s="68" t="inlineStr">
        <is>
          <t>Milestone Target</t>
        </is>
      </c>
      <c r="C15" s="68" t="inlineStr">
        <is>
          <t>My Custom Reward Description (Double-click to customize)</t>
        </is>
      </c>
      <c r="D15" s="68" t="inlineStr">
        <is>
          <t>Estimated Cost</t>
        </is>
      </c>
      <c r="E15" s="68" t="inlineStr">
        <is>
          <t>Unlock Status</t>
        </is>
      </c>
      <c r="F15" s="68" t="inlineStr">
        <is>
          <t>Claimed?</t>
        </is>
      </c>
      <c r="G15" s="68" t="inlineStr">
        <is>
          <t>Date Claimed</t>
        </is>
      </c>
      <c r="H15" s="68" t="inlineStr">
        <is>
          <t>Self Notes &amp; Reflections</t>
        </is>
      </c>
      <c r="I15" s="69" t="n"/>
    </row>
    <row r="16">
      <c r="B16" s="62" t="inlineStr">
        <is>
          <t>Level 2 (250 XP)</t>
        </is>
      </c>
      <c r="C16" s="70" t="inlineStr">
        <is>
          <t>Treat myself to a favorite cheat meal or premium movie night</t>
        </is>
      </c>
      <c r="D16" s="71" t="n">
        <v>15</v>
      </c>
      <c r="E16" s="62">
        <f>IF(C7&gt;=250, "🔓 UNLOCKED", "🔒 LOCKED")</f>
        <v/>
      </c>
      <c r="F16" s="72" t="inlineStr">
        <is>
          <t>No</t>
        </is>
      </c>
      <c r="G16" s="73" t="n"/>
      <c r="H16" s="70" t="inlineStr">
        <is>
          <t>Celebrate building a strong habit foundation!</t>
        </is>
      </c>
      <c r="I16" s="74" t="n"/>
    </row>
    <row r="17">
      <c r="B17" s="62" t="inlineStr">
        <is>
          <t>Level 3 (500 XP)</t>
        </is>
      </c>
      <c r="C17" s="70" t="inlineStr">
        <is>
          <t>Buy that new book, video game, or self-care item</t>
        </is>
      </c>
      <c r="D17" s="71" t="n">
        <v>40</v>
      </c>
      <c r="E17" s="62">
        <f>IF(C7&gt;=500, "🔓 UNLOCKED", "🔒 LOCKED")</f>
        <v/>
      </c>
      <c r="F17" s="72" t="inlineStr">
        <is>
          <t>No</t>
        </is>
      </c>
      <c r="G17" s="73" t="n"/>
      <c r="H17" s="70" t="inlineStr">
        <is>
          <t>A major milestone reached. Consistency pays off!</t>
        </is>
      </c>
      <c r="I17" s="74" t="n"/>
    </row>
    <row r="18">
      <c r="B18" s="62" t="inlineStr">
        <is>
          <t>Level 4 (1000 XP)</t>
        </is>
      </c>
      <c r="C18" s="70" t="inlineStr">
        <is>
          <t>Take a full weekend day completely off to relax guilt-free</t>
        </is>
      </c>
      <c r="D18" s="75" t="inlineStr">
        <is>
          <t>Priceless</t>
        </is>
      </c>
      <c r="E18" s="62">
        <f>IF(C7&gt;=1000, "🔓 UNLOCKED", "🔒 LOCKED")</f>
        <v/>
      </c>
      <c r="F18" s="72" t="inlineStr">
        <is>
          <t>No</t>
        </is>
      </c>
      <c r="G18" s="73" t="n"/>
      <c r="H18" s="70" t="inlineStr">
        <is>
          <t>Legendary level of focus. Time for deep, earned rest.</t>
        </is>
      </c>
      <c r="I18" s="74" t="n"/>
    </row>
    <row r="19">
      <c r="B19" s="62" t="inlineStr">
        <is>
          <t>Month Complete (&gt;70%)</t>
        </is>
      </c>
      <c r="C19" s="70" t="inlineStr">
        <is>
          <t>Subscribe to a health/wellness app or buy new active wear</t>
        </is>
      </c>
      <c r="D19" s="71" t="n">
        <v>60</v>
      </c>
      <c r="E19" s="62">
        <f>IF('Habit Tracker'!B6&gt;=0.7, "🔓 UNLOCKED", "🔒 LOCKED")</f>
        <v/>
      </c>
      <c r="F19" s="72" t="inlineStr">
        <is>
          <t>No</t>
        </is>
      </c>
      <c r="G19" s="73" t="n"/>
      <c r="H19" s="70" t="inlineStr">
        <is>
          <t>Consistent performance for the whole month. Brilliant work!</t>
        </is>
      </c>
      <c r="I19" s="74" t="n"/>
    </row>
  </sheetData>
  <mergeCells count="10">
    <mergeCell ref="B11:D11"/>
    <mergeCell ref="B5:D5"/>
    <mergeCell ref="H16:I16"/>
    <mergeCell ref="H15:I15"/>
    <mergeCell ref="B2:I3"/>
    <mergeCell ref="H18:I18"/>
    <mergeCell ref="H19:I19"/>
    <mergeCell ref="B14:I14"/>
    <mergeCell ref="F5:I5"/>
    <mergeCell ref="H17:I17"/>
  </mergeCells>
  <conditionalFormatting sqref="H6:H11">
    <cfRule type="cellIs" priority="1" operator="containsText" dxfId="0" stopIfTrue="1">
      <formula>"UNLOCKED"</formula>
    </cfRule>
    <cfRule type="cellIs" priority="2" operator="containsText" dxfId="1" stopIfTrue="1">
      <formula>"LOCKED"</formula>
    </cfRule>
  </conditionalFormatting>
  <conditionalFormatting sqref="E16:E19">
    <cfRule type="cellIs" priority="1" operator="containsText" dxfId="0" stopIfTrue="1">
      <formula>"UNLOCKED"</formula>
    </cfRule>
    <cfRule type="cellIs" priority="2" operator="containsText" dxfId="1" stopIfTrue="1">
      <formula>"LOCKED"</formula>
    </cfRule>
  </conditionalFormatting>
  <conditionalFormatting sqref="C10">
    <cfRule type="cellIs" priority="5" operator="notEqual" dxfId="2">
      <formula>""</formula>
    </cfRule>
  </conditionalFormatting>
  <dataValidations count="1">
    <dataValidation sqref="F16 F17 F18 F19" showDropDown="0" showInputMessage="0" showErrorMessage="0" allowBlank="0" errorTitle="Invalid Entry" error="Your entry must be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2026-08-19T03:20:37Z</dcterms:created>
  <dcterms:modified xmlns:dcterms="http://purl.org/dc/terms/" xmlns:xsi="http://www.w3.org/2001/XMLSchema-instance" xsi:type="dcterms:W3CDTF">2026-08-20T03:36:45Z</dcterms:modified>
</cp:coreProperties>
</file>